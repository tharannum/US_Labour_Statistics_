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publishItems="1"/>
  <mc:AlternateContent xmlns:mc="http://schemas.openxmlformats.org/markup-compatibility/2006">
    <mc:Choice Requires="x15">
      <x15ac:absPath xmlns:x15ac="http://schemas.microsoft.com/office/spreadsheetml/2010/11/ac" url="https://d.docs.live.net/aaacf1147212301a/Documents/Data Analytic Inforamtion/Excel/dahboard in excel/ExcelDashboardDatasets-211110-193440/Completed Workbooks/"/>
    </mc:Choice>
  </mc:AlternateContent>
  <xr:revisionPtr revIDLastSave="1" documentId="13_ncr:1_{85770C56-C095-4092-BEEA-D0D43B0227DD}" xr6:coauthVersionLast="47" xr6:coauthVersionMax="47" xr10:uidLastSave="{F30F61C7-B0FA-4D95-B6FC-593D5AACAB20}"/>
  <bookViews>
    <workbookView xWindow="-120" yWindow="-120" windowWidth="29040" windowHeight="15720" activeTab="2" xr2:uid="{DB438AB8-0F60-4224-9C67-97043B861F24}"/>
  </bookViews>
  <sheets>
    <sheet name="Data" sheetId="1" r:id="rId1"/>
    <sheet name="Data Prep" sheetId="3" r:id="rId2"/>
    <sheet name="Dashboard" sheetId="4" r:id="rId3"/>
  </sheets>
  <definedNames>
    <definedName name="_xlnm._FilterDatabase" localSheetId="0" hidden="1">Data!$A$1:$F$1919</definedName>
    <definedName name="_xlnm._FilterDatabase" localSheetId="1" hidden="1">'Data Prep'!$D$2:$E$12</definedName>
    <definedName name="_xlchart.v5.0" hidden="1">'Data Prep'!$O$2</definedName>
    <definedName name="_xlchart.v5.1" hidden="1">'Data Prep'!$O$3:$O$50</definedName>
    <definedName name="_xlchart.v5.2" hidden="1">'Data Prep'!$T$2</definedName>
    <definedName name="_xlchart.v5.3" hidden="1">'Data Prep'!$T$3:$T$50</definedName>
    <definedName name="Z_948164EF_B902_4A6C_8E3C_A935061C5153_.wvu.FilterData" localSheetId="0" hidden="1">Data!$A$1:$F$1919</definedName>
    <definedName name="Z_A1F01C08_243B_48FC_94A8_F102AEB1706D_.wvu.FilterData" localSheetId="0" hidden="1">Data!$A$1:$F$1919</definedName>
  </definedNames>
  <calcPr calcId="191029"/>
  <customWorkbookViews>
    <customWorkbookView name="Dashboard" guid="{948164EF-B902-4A6C-8E3C-A935061C5153}" maximized="1" xWindow="-8" yWindow="-8" windowWidth="1936" windowHeight="1056" activeSheetId="8" showFormulaBar="0"/>
    <customWorkbookView name="ShowAllWorksheets" guid="{A1F01C08-243B-48FC-94A8-F102AEB1706D}" maximized="1" xWindow="-8" yWindow="-8" windowWidth="1936" windowHeight="1056" activeSheetId="8" showFormulaBar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3" l="1"/>
  <c r="B18" i="3"/>
  <c r="T2" i="3" s="1"/>
  <c r="B6" i="4" a="1"/>
  <c r="B6" i="4" s="1"/>
  <c r="B3" i="3" s="1"/>
  <c r="S11" i="3" s="1"/>
  <c r="D15" i="3"/>
  <c r="F3" i="3" l="1"/>
  <c r="F11" i="3"/>
  <c r="F10" i="3"/>
  <c r="F12" i="3"/>
  <c r="F9" i="3"/>
  <c r="F8" i="3"/>
  <c r="F7" i="3"/>
  <c r="F6" i="3"/>
  <c r="F5" i="3"/>
  <c r="F4" i="3"/>
  <c r="S9" i="3"/>
  <c r="S50" i="3"/>
  <c r="S26" i="3"/>
  <c r="S49" i="3"/>
  <c r="S25" i="3"/>
  <c r="S17" i="3"/>
  <c r="S48" i="3"/>
  <c r="S16" i="3"/>
  <c r="S39" i="3"/>
  <c r="S15" i="3"/>
  <c r="S30" i="3"/>
  <c r="S6" i="3"/>
  <c r="S45" i="3"/>
  <c r="S37" i="3"/>
  <c r="S29" i="3"/>
  <c r="S21" i="3"/>
  <c r="S13" i="3"/>
  <c r="S5" i="3"/>
  <c r="S34" i="3"/>
  <c r="S10" i="3"/>
  <c r="S33" i="3"/>
  <c r="S32" i="3"/>
  <c r="S8" i="3"/>
  <c r="S31" i="3"/>
  <c r="S23" i="3"/>
  <c r="S38" i="3"/>
  <c r="S22" i="3"/>
  <c r="S14" i="3"/>
  <c r="S44" i="3"/>
  <c r="S36" i="3"/>
  <c r="S28" i="3"/>
  <c r="S20" i="3"/>
  <c r="S12" i="3"/>
  <c r="S4" i="3"/>
  <c r="S42" i="3"/>
  <c r="S18" i="3"/>
  <c r="S41" i="3"/>
  <c r="S40" i="3"/>
  <c r="S24" i="3"/>
  <c r="S47" i="3"/>
  <c r="S7" i="3"/>
  <c r="S46" i="3"/>
  <c r="S3" i="3"/>
  <c r="S43" i="3"/>
  <c r="S35" i="3"/>
  <c r="S27" i="3"/>
  <c r="S19" i="3"/>
  <c r="P4" i="3" l="1"/>
  <c r="R4" i="3" s="1"/>
  <c r="T4" i="3" s="1"/>
  <c r="P5" i="3"/>
  <c r="R5" i="3" s="1"/>
  <c r="T5" i="3" s="1"/>
  <c r="P6" i="3"/>
  <c r="R6" i="3" s="1"/>
  <c r="T6" i="3" s="1"/>
  <c r="P7" i="3"/>
  <c r="R7" i="3" s="1"/>
  <c r="T7" i="3" s="1"/>
  <c r="P8" i="3"/>
  <c r="R8" i="3" s="1"/>
  <c r="T8" i="3" s="1"/>
  <c r="P9" i="3"/>
  <c r="R9" i="3" s="1"/>
  <c r="T9" i="3" s="1"/>
  <c r="P10" i="3"/>
  <c r="R10" i="3" s="1"/>
  <c r="T10" i="3" s="1"/>
  <c r="P11" i="3"/>
  <c r="R11" i="3" s="1"/>
  <c r="T11" i="3" s="1"/>
  <c r="P12" i="3"/>
  <c r="R12" i="3" s="1"/>
  <c r="T12" i="3" s="1"/>
  <c r="P13" i="3"/>
  <c r="R13" i="3" s="1"/>
  <c r="T13" i="3" s="1"/>
  <c r="P14" i="3"/>
  <c r="R14" i="3" s="1"/>
  <c r="T14" i="3" s="1"/>
  <c r="P15" i="3"/>
  <c r="R15" i="3" s="1"/>
  <c r="T15" i="3" s="1"/>
  <c r="P16" i="3"/>
  <c r="R16" i="3" s="1"/>
  <c r="T16" i="3" s="1"/>
  <c r="P17" i="3"/>
  <c r="R17" i="3" s="1"/>
  <c r="T17" i="3" s="1"/>
  <c r="P18" i="3"/>
  <c r="R18" i="3" s="1"/>
  <c r="T18" i="3" s="1"/>
  <c r="P19" i="3"/>
  <c r="R19" i="3" s="1"/>
  <c r="T19" i="3" s="1"/>
  <c r="P20" i="3"/>
  <c r="R20" i="3" s="1"/>
  <c r="T20" i="3" s="1"/>
  <c r="P21" i="3"/>
  <c r="R21" i="3" s="1"/>
  <c r="T21" i="3" s="1"/>
  <c r="P22" i="3"/>
  <c r="R22" i="3" s="1"/>
  <c r="T22" i="3" s="1"/>
  <c r="P23" i="3"/>
  <c r="R23" i="3" s="1"/>
  <c r="T23" i="3" s="1"/>
  <c r="P24" i="3"/>
  <c r="R24" i="3" s="1"/>
  <c r="T24" i="3" s="1"/>
  <c r="P25" i="3"/>
  <c r="R25" i="3" s="1"/>
  <c r="T25" i="3" s="1"/>
  <c r="P26" i="3"/>
  <c r="R26" i="3" s="1"/>
  <c r="T26" i="3" s="1"/>
  <c r="P27" i="3"/>
  <c r="R27" i="3" s="1"/>
  <c r="T27" i="3" s="1"/>
  <c r="P28" i="3"/>
  <c r="R28" i="3" s="1"/>
  <c r="T28" i="3" s="1"/>
  <c r="P29" i="3"/>
  <c r="R29" i="3" s="1"/>
  <c r="T29" i="3" s="1"/>
  <c r="P30" i="3"/>
  <c r="R30" i="3" s="1"/>
  <c r="T30" i="3" s="1"/>
  <c r="P31" i="3"/>
  <c r="R31" i="3" s="1"/>
  <c r="T31" i="3" s="1"/>
  <c r="P32" i="3"/>
  <c r="R32" i="3" s="1"/>
  <c r="T32" i="3" s="1"/>
  <c r="P33" i="3"/>
  <c r="R33" i="3" s="1"/>
  <c r="T33" i="3" s="1"/>
  <c r="P34" i="3"/>
  <c r="R34" i="3" s="1"/>
  <c r="T34" i="3" s="1"/>
  <c r="P35" i="3"/>
  <c r="R35" i="3" s="1"/>
  <c r="T35" i="3" s="1"/>
  <c r="P36" i="3"/>
  <c r="R36" i="3" s="1"/>
  <c r="T36" i="3" s="1"/>
  <c r="P37" i="3"/>
  <c r="R37" i="3" s="1"/>
  <c r="T37" i="3" s="1"/>
  <c r="P38" i="3"/>
  <c r="R38" i="3" s="1"/>
  <c r="T38" i="3" s="1"/>
  <c r="P39" i="3"/>
  <c r="R39" i="3" s="1"/>
  <c r="T39" i="3" s="1"/>
  <c r="P40" i="3"/>
  <c r="R40" i="3" s="1"/>
  <c r="T40" i="3" s="1"/>
  <c r="P41" i="3"/>
  <c r="R41" i="3" s="1"/>
  <c r="T41" i="3" s="1"/>
  <c r="P42" i="3"/>
  <c r="R42" i="3" s="1"/>
  <c r="T42" i="3" s="1"/>
  <c r="P43" i="3"/>
  <c r="R43" i="3" s="1"/>
  <c r="T43" i="3" s="1"/>
  <c r="P44" i="3"/>
  <c r="R44" i="3" s="1"/>
  <c r="T44" i="3" s="1"/>
  <c r="P45" i="3"/>
  <c r="R45" i="3" s="1"/>
  <c r="T45" i="3" s="1"/>
  <c r="P46" i="3"/>
  <c r="R46" i="3" s="1"/>
  <c r="T46" i="3" s="1"/>
  <c r="P47" i="3"/>
  <c r="R47" i="3" s="1"/>
  <c r="T47" i="3" s="1"/>
  <c r="P48" i="3"/>
  <c r="R48" i="3" s="1"/>
  <c r="T48" i="3" s="1"/>
  <c r="P49" i="3"/>
  <c r="R49" i="3" s="1"/>
  <c r="T49" i="3" s="1"/>
  <c r="P50" i="3"/>
  <c r="R50" i="3" s="1"/>
  <c r="T50" i="3" s="1"/>
  <c r="P3" i="3"/>
  <c r="R3" i="3" s="1"/>
  <c r="T3" i="3" s="1"/>
  <c r="M4" i="3"/>
  <c r="M5" i="3"/>
  <c r="M6" i="3"/>
  <c r="M3" i="3"/>
  <c r="L4" i="3"/>
  <c r="L5" i="3"/>
  <c r="L6" i="3"/>
  <c r="L3" i="3"/>
  <c r="H16" i="3"/>
  <c r="I9" i="3"/>
  <c r="I8" i="3"/>
  <c r="I11" i="3"/>
  <c r="I6" i="3"/>
  <c r="I7" i="3"/>
  <c r="I12" i="3"/>
  <c r="I10" i="3"/>
  <c r="I5" i="3"/>
  <c r="E7" i="3"/>
  <c r="E9" i="3"/>
  <c r="E3" i="3"/>
  <c r="E12" i="3"/>
  <c r="E6" i="3"/>
  <c r="E8" i="3"/>
  <c r="E11" i="3"/>
  <c r="E10" i="3"/>
  <c r="E5" i="3"/>
  <c r="I16" i="3" l="1"/>
  <c r="I17" i="3" l="1"/>
  <c r="I19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<sst xmlns="http://schemas.openxmlformats.org/spreadsheetml/2006/main" count="3949" uniqueCount="81">
  <si>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</si>
  <si>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</si>
  <si>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</si>
  <si>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</si>
  <si>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</si>
  <si>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</si>
  <si>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</si>
  <si>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</si>
  <si>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</si>
  <si>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</si>
  <si>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</si>
  <si>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</si>
  <si>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</si>
  <si>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</si>
  <si>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</si>
  <si>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</si>
  <si>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</si>
  <si>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</si>
  <si>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</si>
  <si>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</si>
  <si>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</si>
  <si>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</si>
  <si>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</si>
  <si>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</si>
  <si>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</si>
  <si>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</si>
  <si>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</si>
  <si>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</si>
  <si>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</si>
  <si>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</si>
  <si>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</si>
  <si>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</si>
  <si>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</si>
  <si>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</si>
  <si>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</si>
  <si>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</si>
  <si>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</si>
  <si>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</si>
  <si>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</si>
  <si>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</si>
  <si>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</si>
  <si>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</si>
  <si>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</si>
  <si>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</si>
  <si>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</si>
  <si>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</si>
  <si>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</si>
  <si>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</si>
  <si>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</si>
  <si>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Industry</t>
  </si>
  <si>
    <t>Year</t>
  </si>
  <si>
    <t>Construction</t>
  </si>
  <si>
    <t>Manufacturing</t>
  </si>
  <si>
    <t>Information</t>
  </si>
  <si>
    <t>Trade &amp; Transportation</t>
  </si>
  <si>
    <t>Natural Resources</t>
  </si>
  <si>
    <t>Finance</t>
  </si>
  <si>
    <t>Business Services</t>
  </si>
  <si>
    <t>Education &amp; Health</t>
  </si>
  <si>
    <t>Leisure &amp; Hospitality</t>
  </si>
  <si>
    <t>Other Services</t>
  </si>
  <si>
    <t>Establishments</t>
  </si>
  <si>
    <t>Employees</t>
  </si>
  <si>
    <t>Avg Annual Wage</t>
  </si>
  <si>
    <t>INDUSTRY FILTER</t>
  </si>
  <si>
    <t>Selection</t>
  </si>
  <si>
    <t>DATE FILTER</t>
  </si>
  <si>
    <t>Current Year:</t>
  </si>
  <si>
    <t>Avg Wage</t>
  </si>
  <si>
    <t>AVG WAGE BY INDUSTRY</t>
  </si>
  <si>
    <t>EMPLOYEES BY INDUSTRY</t>
  </si>
  <si>
    <t>EMPLOYEES BY INDUSTRY (CLEAN)</t>
  </si>
  <si>
    <t>Others</t>
  </si>
  <si>
    <t>WAGE &amp; EMPLOYEE TRENDS</t>
  </si>
  <si>
    <t>COMPARISONS BY STATE</t>
  </si>
  <si>
    <t>Population</t>
  </si>
  <si>
    <t>Employees per 1000 Capita</t>
  </si>
  <si>
    <t>Average Wages</t>
  </si>
  <si>
    <t>MAP FILTER</t>
  </si>
  <si>
    <t>Metric:</t>
  </si>
  <si>
    <t>Percentage: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</si>
</sst>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#,##0;&quot;$&quot;#,##0"/>
    <numFmt numFmtId="166" formatCode=";;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 tint="0.249977111117893"/>
      <name val="Calibri"/>
      <family val="2"/>
      <scheme val="minor"/>
    </font>
    <font>
      <sz val="8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3" borderId="0" xfId="0" applyFont="1" applyFill="1"/>
    <xf numFmtId="0" fontId="2" fillId="4" borderId="0" xfId="0" applyFont="1" applyFill="1" applyAlignment="1">
      <alignment horizontal="centerContinuous"/>
    </xf>
    <xf numFmtId="0" fontId="1" fillId="5" borderId="0" xfId="0" applyFont="1" applyFill="1"/>
    <xf numFmtId="0" fontId="2" fillId="6" borderId="0" xfId="0" applyFont="1" applyFill="1" applyAlignment="1">
      <alignment horizontal="centerContinuous"/>
    </xf>
    <xf numFmtId="1" fontId="0" fillId="0" borderId="0" xfId="0" applyNumberFormat="1"/>
    <xf numFmtId="165" fontId="0" fillId="0" borderId="0" xfId="0" applyNumberFormat="1"/>
    <xf numFmtId="0" fontId="4" fillId="7" borderId="0" xfId="0" applyFont="1" applyFill="1" applyAlignment="1">
      <alignment horizontal="center"/>
    </xf>
    <xf numFmtId="9" fontId="0" fillId="0" borderId="0" xfId="1" applyFont="1" applyAlignment="1">
      <alignment horizontal="left"/>
    </xf>
    <xf numFmtId="166" fontId="0" fillId="0" borderId="0" xfId="0" applyNumberFormat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269999"/>
      <color rgb="FFB2DBD5"/>
      <color rgb="FFEE0000"/>
      <color rgb="FFFF74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tyles" Target="styles.xml"/><Relationship Id="rId10" Type="http://schemas.microsoft.com/office/2017/06/relationships/richStyles" Target="richData/richStyl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73287242291871"/>
          <c:y val="8.5769980506822607E-2"/>
          <c:w val="0.84584893140577677"/>
          <c:h val="0.711605347577166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'Data Prep'!$M$2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Prep'!$K$3:$K$6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Prep'!$M$3:$M$6</c:f>
              <c:numCache>
                <c:formatCode>#,##0</c:formatCode>
                <c:ptCount val="4"/>
                <c:pt idx="0">
                  <c:v>2760656</c:v>
                </c:pt>
                <c:pt idx="1">
                  <c:v>2781425</c:v>
                </c:pt>
                <c:pt idx="2">
                  <c:v>2815141</c:v>
                </c:pt>
                <c:pt idx="3">
                  <c:v>2677815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1-43C7-91C9-AA5FFA314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425833104"/>
        <c:axId val="1425840592"/>
      </c:barChart>
      <c:catAx>
        <c:axId val="142583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40592"/>
        <c:crosses val="autoZero"/>
        <c:auto val="1"/>
        <c:lblAlgn val="ctr"/>
        <c:lblOffset val="100"/>
        <c:noMultiLvlLbl val="0"/>
      </c:catAx>
      <c:valAx>
        <c:axId val="1425840592"/>
        <c:scaling>
          <c:orientation val="minMax"/>
          <c:max val="3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Employees</a:t>
                </a:r>
              </a:p>
            </c:rich>
          </c:tx>
          <c:layout>
            <c:manualLayout>
              <c:xMode val="edge"/>
              <c:yMode val="edge"/>
              <c:x val="2.7338545381649672E-2"/>
              <c:y val="0.140691624073306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3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34089765328006"/>
          <c:y val="0.23333333333333334"/>
          <c:w val="0.84639459890522539"/>
          <c:h val="0.64444444444444449"/>
        </c:manualLayout>
      </c:layout>
      <c:lineChart>
        <c:grouping val="standard"/>
        <c:varyColors val="0"/>
        <c:ser>
          <c:idx val="1"/>
          <c:order val="0"/>
          <c:tx>
            <c:strRef>
              <c:f>'Data Prep'!$L$2</c:f>
              <c:strCache>
                <c:ptCount val="1"/>
                <c:pt idx="0">
                  <c:v>Avg Wage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1"/>
                </a:solidFill>
              </a:ln>
              <a:effectLst/>
            </c:spPr>
          </c:marker>
          <c:dLbls>
            <c:numFmt formatCode="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Prep'!$K$3:$K$6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Prep'!$L$3:$L$6</c:f>
              <c:numCache>
                <c:formatCode>"$"#,##0</c:formatCode>
                <c:ptCount val="4"/>
                <c:pt idx="0">
                  <c:v>75580.708333333328</c:v>
                </c:pt>
                <c:pt idx="1">
                  <c:v>79569.104166666672</c:v>
                </c:pt>
                <c:pt idx="2">
                  <c:v>83493.333333333328</c:v>
                </c:pt>
                <c:pt idx="3">
                  <c:v>93586.333333333328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5-4778-AB73-34DFD1F82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833104"/>
        <c:axId val="1425840592"/>
      </c:lineChart>
      <c:catAx>
        <c:axId val="1425833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5840592"/>
        <c:crosses val="autoZero"/>
        <c:auto val="1"/>
        <c:lblAlgn val="ctr"/>
        <c:lblOffset val="100"/>
        <c:noMultiLvlLbl val="0"/>
      </c:catAx>
      <c:valAx>
        <c:axId val="1425840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Wage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4205599300087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3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64937916414293"/>
          <c:y val="4.4530314274617275E-2"/>
          <c:w val="0.37434485851723409"/>
          <c:h val="0.83849271564595629"/>
        </c:manualLayout>
      </c:layout>
      <c:doughnutChart>
        <c:varyColors val="1"/>
        <c:ser>
          <c:idx val="0"/>
          <c:order val="0"/>
          <c:tx>
            <c:strRef>
              <c:f>'Data Prep'!$I$15</c:f>
              <c:strCache>
                <c:ptCount val="1"/>
                <c:pt idx="0">
                  <c:v>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AD-445F-888A-0ECCDCEF21CB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AD-445F-888A-0ECCDCEF21CB}"/>
              </c:ext>
            </c:extLst>
          </c:dPt>
          <c:cat>
            <c:strRef>
              <c:f>'Data Prep'!$H$16:$H$17</c:f>
              <c:strCache>
                <c:ptCount val="2"/>
                <c:pt idx="0">
                  <c:v>Information</c:v>
                </c:pt>
                <c:pt idx="1">
                  <c:v>Others</c:v>
                </c:pt>
              </c:strCache>
            </c:strRef>
          </c:cat>
          <c:val>
            <c:numRef>
              <c:f>'Data Prep'!$I$16:$I$17</c:f>
              <c:numCache>
                <c:formatCode>#,##0</c:formatCode>
                <c:ptCount val="2"/>
                <c:pt idx="0">
                  <c:v>2677815</c:v>
                </c:pt>
                <c:pt idx="1">
                  <c:v>65659149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AD-445F-888A-0ECCDCEF2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Prep'!$E$2</c:f>
              <c:strCache>
                <c:ptCount val="1"/>
                <c:pt idx="0">
                  <c:v>Avg Annual Wage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Prep'!$E$3:$E$12</c:f>
              <c:numCache>
                <c:formatCode>"$"#,##0</c:formatCode>
                <c:ptCount val="10"/>
                <c:pt idx="0">
                  <c:v>93586.333333333328</c:v>
                </c:pt>
                <c:pt idx="1">
                  <c:v>90040.666666666672</c:v>
                </c:pt>
                <c:pt idx="2">
                  <c:v>74713.0625</c:v>
                </c:pt>
                <c:pt idx="3">
                  <c:v>68427.875</c:v>
                </c:pt>
                <c:pt idx="4">
                  <c:v>63896.895833333336</c:v>
                </c:pt>
                <c:pt idx="5">
                  <c:v>55605.9375</c:v>
                </c:pt>
                <c:pt idx="6">
                  <c:v>53607.208333333336</c:v>
                </c:pt>
                <c:pt idx="7">
                  <c:v>49366.8125</c:v>
                </c:pt>
                <c:pt idx="8">
                  <c:v>40790.1875</c:v>
                </c:pt>
                <c:pt idx="9">
                  <c:v>23286.416666666668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2-450B-9C69-17AE9E3DF3A2}"/>
            </c:ext>
          </c:extLst>
        </c:ser>
        <c:ser>
          <c:idx val="1"/>
          <c:order val="1"/>
          <c:tx>
            <c:strRef>
              <c:f>'Data Prep'!$F$2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,&quot;K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Prep'!$F$3:$F$12</c:f>
              <c:numCache>
                <c:formatCode>"$"#,##0</c:formatCode>
                <c:ptCount val="10"/>
                <c:pt idx="0">
                  <c:v>93586.333333333328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C2-450B-9C69-17AE9E3DF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774827776"/>
        <c:axId val="1774826528"/>
      </c:barChart>
      <c:catAx>
        <c:axId val="1774827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826528"/>
        <c:crosses val="autoZero"/>
        <c:auto val="1"/>
        <c:lblAlgn val="ctr"/>
        <c:lblOffset val="100"/>
        <c:noMultiLvlLbl val="0"/>
      </c:catAx>
      <c:valAx>
        <c:axId val="1774826528"/>
        <c:scaling>
          <c:orientation val="minMax"/>
        </c:scaling>
        <c:delete val="0"/>
        <c:axPos val="t"/>
        <c:numFmt formatCode="&quot;$&quot;#,##0,&quot;K&quot;" sourceLinked="0"/>
        <c:majorTickMark val="out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82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8CBFE0DF-41C4-4E3C-8FEB-FE0C2E154297}">
          <cx:tx>
            <cx:txData>
              <cx:f>_xlchart.v5.2</cx:f>
              <cx:v>Average Wages</cx:v>
            </cx:txData>
          </cx:tx>
          <cx:spPr>
            <a:solidFill>
              <a:schemeClr val="bg1"/>
            </a:solidFill>
          </cx:spPr>
          <cx:dataId val="0"/>
          <cx:layoutPr>
            <cx:regionLabelLayout val="none"/>
            <cx:geography cultureLanguage="en-US" cultureRegion="US" attribution="Powered by Bing">
              <cx:geoCache provider="{E9337A44-BEBE-4D9F-B70C-5C5E7DAFC167}">
                <cx:binary>1H1pc9u40u5fSeXzpYdYCAKnzrxVA5LavK9ZvrAUR+EGAty3X/+27DixFeXEt47vrVJlhkkkwWrg
QXc/vQD59/3wr3u1WVfvhlzp+l/3w9/v46Yp/vXXX/V9vMnX9VGe3FemNt+ao3uT/2W+fUvuN399
rdZ9oqO/sI3oX/fxumo2w/v/+Tf8tGhjTsz9ukmMvmw31Xi1qVvV1P/hvb1vvVt/zRPtJ3VTJfcN
+vv9h9HAC9H7dxvdJM14Mxabv9+/+ND7d3/t/qhfvvadAsma9iuMpfhICMEwQ45gzBVMvH+njI6+
v20h2z1yHESpY9suwRTjp+8+W+cw/hUCPYiz/vq12tQ1TOjh92cDX0gPr396/+7etLrZLloE6/f3
+1udNJuv766bdbOp379LauM9fsAz2yncXj/M+a+Xy/4//955AVZh55VnyOwu2Z/e+hWYdR0DMI3R
T+vzBti4RxQh4jLhEISdHWCwDcAw4hIADglE0dMXfwfmVQL9BptnY3fh+ecg4Tle63oNe+et1Ibw
I8qpi4XLGKeOa5OX6Ah+RLiNuE0czjlzEajV43c/ovNnefYj8zRuB5VjUIEDVJp/1PrLOl8/Lc1/
rzEEHwEgFDObw9NxOSjFc2vG2RGnNiHYflSo55C8Qpj9mPwYuAPKPyeHCUqVTEa/JSj0CAuCMUdU
UERtBi7kOSgIoSMADcyY47gM/aIr//xZoN8A8zRwF5jPBwmMZ5Sp1l/NG6oLB+fPHcemyLGJ+BUZ
2zlyqMsxWDBKENv1Ma+RaD80P0fuYOOdHyQ255lax+ZNTRksPSdAuwhyCSCAdrRGAC+zOQFWBm8B
N3huyl4jzX5cfo7cweX8+CBx+afK3trz0yMOSgOwMMQwsgV9ac0EPqJEIAdsGWeIAHAvsXmNRPux
+TlyB5t/rg4SG3+j1v262jytzxu4f3Fk29x1uEOpwAj+9BIb1zmiDJgBQRzIG3O2nui53rxGov3Y
/By5g40fHCQ23lol30ylk7fkAe4RdihjAnFB90U0SByB+8eusB3sEkr4S3ReJ9N+fJ6P3UHI++cg
EbrZaA0B9eYt1ccBdoyF2KoQpkDVwHQ9J2rAngEVwNDmgjgA5U5Q8yqR9uPzbOgOPDdnBwnPUn9N
1m/KosWRQEKAcgiHOlzwHb8D4ICv4TYD3eIPrOCl9rxCoP3Q/Bi4A8zyMIHxDOjNfZPct83TAv33
joeiI8d1kOMiiGG2tmsHHBfi0kcSBx7pucd5pTT7kXkxeAcd7+Yg1WYGIU7y9Q2dDuZHjoAEJobw
BpHHRMwLmwZ0jQNgGLg25HOAE7wE6BUC7Qfnx8AdYGaHmRW42Qxvmj9DwMQIpJsh78xs2+Gw7M9h
EeKIQJrGhSQbIjZ3tiz7ud78UZz9oHwftgPJzceD1JX5xlTRmxI0fMQohJoc9AAcyUO4/xwUTo4o
pcQF/79XV14h0H5YfgzcAWZ+mNTsbNO/+2Sq7GnLvoF/gSoNERjiFhc7EN7sBp0Q2DBs25Q7GItt
6LPDzF4j0X5ofo7cwebsMOs0y6+Qp3lDYCjk+YXtYoo4RpiLHcqMED1ijiCuDZUzwiAd8PTdj3WA
P4qzH5Xvw3YgWfoHaceuYijjvVvWaq2/Pq3OG6gMJJUxxwJDkgwsFibgQZ4bMxcoG6iT4A+5tR1a
9lqR9qPzcvQOSFfLgwRpawcW67yAKudbZmwoOWLcgfolcSim3Kburyi5LsMQk+4NOV8t1n6kdobv
QHW2OEioTkyb1G8cfNpHgiPIrTkYKBsQsl26hiApChbwZ43nSZEfzdyrRNoP0bOhO/CcHCY7WCqV
aJO8YTGa2kcIHBCFQs73YsBzQ8fFEaKcQSH6e0l0J+n5Gnn2Q/Nz5A4yy8OMcU7Xdb2+j9t60zRv
CQ8+gqwmJMwYOJzvabPnAIEnYja01xDiMAGP3Vjn1WLtR2ln+A5UpweqRKZfP5mYN+AK+Mh2KXNc
SqFnAyDa8UKCQK3NthmCdg6IV3fLbcs/CLMfl8dRO3AsDxOO0+Q+TqL1W/Y+QZnNpa6A4jOyt9Wc
nfIndyCjZkM6FJKidJ/SvEKi/bj8nMsONqeHydyOIW/S3mfj26kLgdIzJDkxpwJtK6DbQs1zgwbY
YO5CyEOZ6+4p5LxGov3Y/By5g83xYUajp+tEv2EBhzpQoNm20oCzwZgyW7wEhokjDGVrCsbOtaFn
bdtT8Dyr9kdx9qPyfdgOJKfBQbLn03U1vm0kCr2CYqsvjtgWpyFbsEOeXXbk2ghapH5URV9i8md5
fgfL08hdZA4zT3CabCuepnlLx7+taELvLIHo5ol6Pbdkgh4hAU020L22LQ3sOv5XSfQbcH5OZhed
w6yrnSZ1vf2vKJIno/LfE7NtP+c2gQMxp6CQQhM7xAxiG4AFQeegoPihwPb03Y9x5yuF+h1Ez2a0
C9JhNtxu18O01VsiBI3ODDpuoIWQQPkZjNxLl7NthwIO8Cz8/BWhP0n0e3geR+5ic5gthKdGN2/a
MUDdo21MiQSENVDi/CW3BswN6j1QGmVQ/tzyNMiQvvA8fxboN8g8DdwF5uYgGcHZ5ku1rrO3dDuQ
e8YunOxw4QDHQyPajtKII8i2wekC6DOEhrVtG9tzYF4j0H5kfo7cgebsMMna2aZbv2W3AIGys8Mg
3EQAj4Ay6A5VQ4iBw3EIdBQ8pdpeAvMncX4Hy+O4XVDuDlRf+nerTVVvxqdt+98TgW2KEzo44CCU
DVQAqtS71Rwos7mQnbbhF/ve5vESmdfI9Dt0fo7dRWh1sAidbobk/g0roYQeUbztsAGX8gDBTsIG
2ewIAZWDSo4Nxu0hx7aL0J9l+j1CT2N3ETo9SITO4+QNsQHtgRMeDoQ6Ltke5STopb/hQLMhjeNA
rs15PBz1pLmPNPpP0uxH5XHUDh7nh1lTOzNVE7/z1pWB4s0bMgECpzwItAeAXXOQ++uBNReKN9DN
/lAa3UMEXi3VfoR2Z7WD1Zl3kLrzOCt/nb1tqgAO40LLGtguiHGgnLbt5HieKoDqKLS0bc+5Yfup
P/eFfXvA6s9S/Seknkbv4nSY+ZzzahO96XFpAk1SHM53QLcNpKZ/yX6ihxPTD77nV1X6szD7gXka
twPJ+dVBqs4FHCqoR9Wt3/TgB7gfDm0D22LNj3jmueq47hEnnAsoGeyl1a+Vaj9CL0fv4HTxz0Hi
dJdA5+ebYrSt6UAO+qnN5tejU/wIAGRwAYTNwB893BPx3Ly9RqL9+PwcuYPN3YFis6lySIA8Mag3
iH0oVKcdDL8IFntOfsDhAgYXeAgGSkS+1xdeQPNngX6DzNPAXWAOM49z26zjt0NlmyrAsNzQvA7F
gy2p3uED21PtUL3eWzj4kyj78XgctQPG7WGCcW3a/zeEGkgAHGWHWoCAw9PbGudLWPjWF0EDO1w6
4LgP2DxticdQ5/Vy7cdod/wOWteHSakfZ/VEPx+Ny5sYNkqgHA1hD34sSL/EakupMeStBWI/agvP
DdtrpfpPSD3NaRenw6TUHzZ18+6nQ30roKCC/dQ7CKno59QN1AkOubtPh6t+SVW/WqD9GO0M3wHp
w2HmRz8k9b3RdfK23VKQFoXs6OONA7t3RUGZFNp1IGkN4en2ghUOsetzRXqVRL9B6OdkdtFZHgS1
vv+Pd40916AXn/y/vGYN2ALc5AGXQkAJmz/0EL7UIzjvBp2HxMYCwZk3KPpAGfU5QjtXoP1erP0o
7Qx/MZP/T/er/f7utR/X0/nrZh083Gv37Pq1//zuw3Thsr2dod/Xbq+Lely75de/38OFNtx+BuT2
h7xY9Z/tZr8M2qzr5u/3FkdHENbCBSwQGz32h/RggrdvAOBwlQEcb3woKD2kXPU2BfT3e9gLCCIo
8G42NDZsG+jev6u3dAjeYkdUwEkHATfuIWZDr+mP6wQvjBohXfJjOb7//Z1u8wuT6KaG0ZByLx4/
tp2eA2f5bLijBI6LEaiZIEhMwfv36yu4pw4+jf4PVOXjik9htOqHINWqVDIrC+S3bLCWpghPQxGt
HHeqVsqlN3mhGjlxHS/s4TKx1Cq1+mEJ9/R1UlRpOLPdsJFKmCEYGjFJ1lexpCSnflPktqcG7sdZ
ep1ZjRP0cM2ib7PGV6FtZC+ScNmX/abCswS1E6RXf1xhuGeWGA7z/DJPWCm4DQdqP9AHb29Tc8/n
OdTO6GRwidEyrCbkGaeZDUmWL8KyrlahLapVwkkuGxG5vrDsahUheC0ynHpuWftdNqmFRvadDslq
cuxiXlROLqcsTY7TSsiYhUElSLtqBbpljVt7qDXX2rK/0DinFw8PlcdMMjHYQSjCGWWRP+B+mVj5
TLlF6TU61UHOutzMxinrjy1lluNktYtkystgdIdK2iHuj0WdRSA7XWekKP0qG0UA8t5wK0Yrtn2I
xipX+eg1trZXD4+66e3VmBl3OVmXP18WbpXKKY90kDbErwWeFiTB0+rhESdN5IXQEeVlrSpXD48u
acsVCcPLITFoFjpNoiVieTozIflkFoWLN52JM2+kUSZhozeraCw/GjsRQRrjZhW3sGZauKEfwYHf
VWFF0VwzcZaYTGs5tNxZkbZ0vMhR0z2i+Rg05lJlQ7aa+pjPklxdMdWFq8Lk4QoSsUXgZEZJvf3r
1Nji2ePhNatw/ZqO7qLIdTxPSH0xbD9Vw/aro75d4CG2/FSNRhpFEpnhsQpcBB+WJhujZVa5XtgK
uipV56we/jROE1rVHzKr7GYNagePOWEzi7TyalUuimjiSo593K1CMXarGtTB762hkzxJmEfJJGTY
lGuctSiwywhWBJF6NRJ0aTfw0mTjWa6i9kQwt5I47org4VEwO5ckMslxZznJcWvqYZYV7d3DSw+P
KBrgzXyyZkAALic7trRUbWutHh4F/4ZM3vlKi1pG9HORqQ5az0+YA5uqtAfXT6bJWcXFVPm0d5DM
IkfiajpOiGiDriTHlalOVN0YjyX4M2ef7LbOgiG2tRyttl5ZNkyjSFAlDbHujBVmsuhZumwKKnOV
YCML7Tl6SldVd9yPk15F7pR4puPIc2pxJ1iaz0Kd2qt6UrLJJ7as0yY+1mPEZkQkN1FaEU85qvWG
izZHyapKslPV5sm8FJEfDyVfALfpJejGwk21JS019Lm0BXx1wizhZ0Mzzq1GnSjbqrzWKolnVWO/
1OHnlrZoNoV8lInTZfM2MtWKVKBDgx3lEpVYe2Ywl1bBzKoQSsvYYkPAzAcY7y4BLrya2JDKymmH
IC7VsGhGZ97EDl2lAlQ072IkbVOOK1zOeJvSGRWDF7L6OCtN4uOiuauSZs0mZa2GdjFMHC1DPni6
dbvjto/VPE7K66gYu2OH+EVHi5nV69syn7hfFPYk64ZWEm5n82nOAyfqhWSq+ET6mMxwrldu6dTz
MIorL7aI8SJYItjFYg5HicHioVLf6YblsyFT07KL7s3I3FW5fShxBYZjXGbOVHhCmdp7MJTgMMsF
zbsgLJ1yPg35Ze22rp/bWSUpbaMg1zeVqktZx47rNWbsvIwXldcMg+M5qLNmpFDnVk3GleGYLEV0
GxcDWQ2ZPmZN9k1EWe+NetVmoRVkuNukxp71U5TOOE5PatTHM0uJj7FLPQ0h/MyO1B0xvVnGfSGn
MSx9OL1O5OjE4Yon1iRxytZNTTLZFqRbxaWFvbTMbvqokLwktxqr1TRya9605Zlpy9rLebgZ3Wsa
6c9hA8a3iPyHbT4qvVJJVc8Zzz9rOAwSlCqaVpGgnay02/tuVMMWrthHi00gJe6C1KUN7Ic2l12t
Qr+NsVnVkYSsQz2LanwXJla1ADtx5ZK7GlWR3ymrnglTKAkb4qrLOHzWdY4nPJYeCBMU2o6DBrdK
WrZeiqpdpHFm+yK0XX8qW+cMxbZHc4T8VNvGH5U/ADi9kzmLpCgnr3XaQFmEeVpM2KtGvCjdqlnS
FraXJldqoIOvmX2ax+QTnYs07WbQ0LlhY3xGuYX8qE6ZXw3lUiDtnDKn8Ma8Lb26aQs/410pCxhB
xsY9Q8SKA5Koxg+zafJwVYXS2HVAMCpmfHBdGWa4nNuj+DKkZpZYWXg5RVUr7cgOfeF054UbHRM7
W5Y4E7OUqcCZQrPK4lIvaqwX1Tjrm2JcpHluJBLhuQpV5puk/IBRPElHRKkko5BwBWS1irvqi1vF
jUciMkprsIogt9ImSFQ3LTOLLdKoWMSkHwNum1jquEULE06nQ9ULLyuzyndKvyad65GiHoLJEmCP
JjUP4X5nGYki8ZQoe0+0dNZNOYgxWrduYkY5acu6ZPX2/ZSdmRyvcDF53FK+xe7DMILfC+Z4Naa+
w+DzqCki6XbJuHDLImizQQfKwbXnCrBbLldeX+pPiQ3MrL8aQJklM6T0Yh5e9AyX16xQp9Rtg0Yp
4VWcVkFFrNnWlM1IY84HzPJb3cLXZR+YEMD2WN/JBDss6KrqYjJj6ZtsFU+dLXUWnU5F6vcuykHP
20vbrtTcagtz3Hafnca5SxSZwKFkrnQS2JaIZpZvN0h5hZjmJqpknbR9YBqAv0hSEiQNa2elBlJo
i0GWY52dlMDYPihz7sRXYdP0533EP5W6rvx6yttgrGRm+hn0YX1Uomg8qq0qaGtC53jkk+dy92OK
RRSEbY9knDN0MdYKX+RxP6cm/BgnOZ8XRX9T9mnqk45+Uy4wkzGpTzJuz1IBjAw4TeuPhsWeQs7o
165my7TII7/+ZmUNPW51JNMmnDcQsy2jlgRa56WcEmrWpiaV7JsuBR+TisVgUC2dLCznkaozL7eA
ArdhsaqiqDlxRQku5IbiHC9YkZ+goTzlGBYmSUvhTfWS92iBBtF7tR31n0f7lPZ8vOMmX/KhpUHT
Wn7FatinzuR3rHCP3cKskFBfa154eT3pj9TpZFhkuWTUnDYKUamtWgdTws2KZ2QMhBuztSurspDu
FC0MpiuN61pWWTl4rRlPCjfM5kD/BtmmSuYOPKyiyk/d1Cub9qOp8i9w61TsceDuaf0VQL82pLvM
nDiWQuUX1IqlUrme1Ti1vU7Q3CvQbf3A86J0oRTyh1E3oArjl6mbMomyeK4dMivL0GMRvXQnfD5p
Fy1ybSMvy6xMZoM4j0K9MBMJunZIIWDgoefqjnuc6M1QBKiM2OU0cOa3Gp9avD/lLKtmpqm418Ri
hsP286A4cKns46gKabnpmjV178WULDurmTUgsp8xGssory+QCbXEfeT4ire9tAu7nYfWUrdhKU2C
EyAOcSJd1WY+rsyHZvw66jaVkWZnYymqeadxLNO2vMV4uBsG96MuwmuDFZai6b40zHJn7pRXCzHc
FdqduwPlCzKG8yS2PJ22sZcZ2NnVsmlBgxOiC4lR7pN6qCXJykn20FoggegnoE7NzBlxGvRosP2h
bs66IlpEgPJMc6Vn2VT7USmCNqSF5zj1MZnUXVkWZ9DoG4QRdqSNoimgXXJCdRR7g8b6GNHJiwXf
mHbd1/gW/M2ciJz5zGm/FbhbltMA+zXpmaynqVoC5/zmtqqfRbk+Jn3eS4uJU2GiYyu7nIBmX9VA
xwypmK+T6Qrh5Cqt8lAyO2r82Lmf9KeibXI/CYEGdZjBPuxPIqe4ilMNLM6+zcPMlorrpY1VBGik
H0rbkYZ1vWQRn5Y67TI5hpWMm7yatfaEZVnKMY4AWzQdg98vLsPsDDnLMsrSE1aQLz3Kriro45jn
ikAk5ySn4cjHmZOxC9zQPuj7EuxwSTCYFL2ypz6RZbQcUl0uJibaWe9aEDiV2TAvi3aQmWNaGaI0
9dy+l02cLHFWCjmqEnkhJ6VPbGT8JOoC1olS4iiFpbaBSEY8vS2VuSRO3y8rdNFnwMcrmLNTEXdO
tXsmKpqCgXeOrQJ/ncrOC6NtVOV07WoojAxZEs/dWhAZQcg9kMknU4qCIq4/uiY6H1LY+yaUZQ4k
poph0kNOZ7YBW9jYkwqEEp8pKfBpHXnT1GOZGzH5Sp3robzDeRTJzrEGr4ocsOSQGgCPuWmtxUhE
5hc6FPO266QuGuQJmw4Q2VlXcWhXs6Ec+dwSVT6bXFV4VUVvsnK7pGALGU+8OixGKYbGd3UtZJbl
rWdpdm4skniDAk7c1tUZb1XlDXBQQeIEryPdDQEcVjvXE1gvnqHj0nJuFSOndsXvw6i/dNPC9ZgC
K0EVVkGW3afQTeV3ifPJoRbsnDjPgFiNXoQGs9LAd+3KS5xJL1qlFxGJvLKwU6koMzOIzaQV0e4M
jOMUAXOMEPd50pwpTYAKjoVnDd/aMfnUJ1kvI4zuRAU5kLFetXF/XzSqWFrjAqpPyVz0TigzHXlB
kybmOOy3pARqhTLr1X1bxyciF/cmjCVpIUSE650j37TLtu9TT1hlDcskzqGn8tht0yUy33pVjzeW
BZzDxgj+UYgliRpg3Dmr5pUy907o9EHGxguL2QQyAE6AaquWsUPKGZrYnA2TIznY97HFiV+EUy+r
NqGyCnnsJ2myJDhJvdjuBhkKlEkoaQ4ez4DCu3lpJHGyJMimbN40cTPvhqGEhEZ1abHoVpOEe6kw
QZ1lV4UuNoS1GwyxCM0rHNgz6o6fu6G2ZZ26oPT9Z9Xy66RCsrOyM5x2IIOqtCRGhJ7FPsNZBGn3
BFzY4NqeCK2Pqp4WNYXAQbnao1V5DT8YaFMKBqzm2Ue77oMiq4WHhmrwocl0lI3J4lnTDOzYNJ8S
1etlHo0rNFo4ADXWEOoCh45OWOa6gQ5HF0hRdNZCLOelfdFKrYxfxBN4/5R5o01iz5RN7FGw7lYH
wSVTYwq7pNeeDQzbEUUn4c6s1DdDm8hpKm7sSKczluMgRqnjtXELHDCczrb/50slEiHbIctkrIts
1jifIIMI23VIvGYsCtkCIRnbaRnb8UdjKfCvljlWvOSSg48tVC7rwWTAGEAdgBa0slFJ6xe5C+q/
XciswB/4SVdMsBguKyVREIHjsPbsrEgh6B7ABBAmLYE/0ylTwMVVIntTrERvl/AjxDcVZ9dFMiti
tbEgF1AOTipTgkM/ps6FYwsjdddwyZyJSZzbS+D2d6lx59wJbwVhYzAIfqOBRHqkCgsZm/DSKsGR
DWHmwTH7xgMNPy8n/jW0EtubrkQnvDZFq3A0QDd6zTw75RGw0DqUiaUnjyoqZLOwcWe8GhKP4Bzv
E5SEvoEivKRu2UL8jyGWBz8RDcOwCBmsW9jboGyGe2Edhl4/0hHybiVE5MXQy6FkzmxqSTKjKXG9
3omjeViLoCC5LQUrvsCh89C34uQq3Gpk1NV5IIr0OA5bMh/DGNInGBxSeldE9E51KJsPojwpeuu+
72vwsc3nJJ78pHAXpulOK4d62XgKNqRrrWs4lWNLO8lvxui8YDQY8iaVYSfgY/0Ct+FZNYSQsOtn
YcbJ5ywD/jqbsrH/BtQitsorJ20jyZ1h8sJyIl442LLMuPBri0Acclz102wksIDA8m8HpFc1nWLJ
wVGC16MyZYBdFRHlN2BEpxAsXQKRgCqzxONmRH4ffgNe1Z1pMV6VTRgtVBZmq1wIv7SqVVvVi1qY
E0yBzSvTDQuBpltSDtdhnZw38C8s+DGLNwWlc2bqTPajc+Wo8o7G9DKtPeK0d8ah57XNZJvncgBO
4Q7qmLrZdUNAWzpg/XGOr/LKz0LXBDoPhR9G7rEYIGqdvFyn4BhU+CmE6MZqE0hVDceOtrwkbjao
6iFqsTVY2nzZmnYhrObc3uoaMZuy0h+MC7HENEDE1TX3k7GQTBFuPIjKL5q2LoJONDeVxrchurYY
jSQ11re6GU95xBPYiy31YPcMvspz8LzVcJ9NxcKd3MjrkJKostaDZTfSra0BNIN8AcLm9UmRy7aO
PpYsWY5t4kIQ3dqy6ZKLuvVZyr7hLjtzTQa5MhStYyIuQog4E1OcM02/WVZ+bbZztvrmlpnUz1sw
5NxOJNTysKwBKc9NqYI1MatS81MsJBriftbR5iuiw1LBKp4V9ukQJXhJ0mKZAU31dMXDWaUFmrn2
EHkQB89UkfSzoYLEGeT3IQJRgxPLcer8ekwghZjyaTUCkyx7JR00BjhpOsjqN9YyssR1ArECKW3w
0umdFaJpoYByyGRCEHSEncfysV0O1cRlURezyM7s80gXXufmTIbU+E4Tlh5PRm/AkecqoMw8i0BL
8wreb5t6pib0yYx2JrsiK+dZoVfGzeNFgjPIptv1ccgmLYFiQwpz6u/zhk2ya7OAG0dDRhJic5bz
ClIEKbBXG2K6s56Wd9kMFUkFgTfCMzuhd9wBRmN1NvOGQp2VmdAesaYvqhisYIRtJJNOU4kglJjx
rpBJUtKZmLIPdVpx36qvylARn+Wxuh7sFRgiFqjaUg/Zp0VpzGfT5LeiMmYWj+YrBa7rWZeKxaeo
SGGldZX4cdMNJzyuvjZxJDyaUDQ34xDLkmTuaQgkH7jWtB5yMSzDVNEzOsFGKPl4kU90OhZ95Fs5
Tk+LIpNNFeU+HsGHgAXNG34exxmEGFBqknAe0J2bgiWBIlHvhRMaF9VC5UNzlkwN5NIQkXHrMp83
9sLu6Slus2KO1DcC/8yBLxpNPTVCorIBagnzJpC0bTqY5pACn4Z0s5go9npzg+029Ceq2AxZSSHz
Lr0YLRFCBDLc9LELCQeUOFAnmoIQ6h8B2DguSw3jir73Ix1qb2Jd4Q+pGPycO9cC5/FxEhEvTtNV
0ejxGFgymK+xpfParb4k+fC1gLTMytXOyi3UhdIold3UFbMitJ05/PMwfRCm7pfKKYPa5eGd5uTM
jdovA+R+jkszjR7UxerZ0FtS1BU4R9y1YO5JKnlVp6clcCSGB7CCpl6n2RjKDg+tB4HjdFLzfJOO
jgpCAlkpzCEioCF3PKtQl7WF6CnLID8H6etZliI1h6ksmkEV/0vZeTXHratd+q9MzT2mGMB0MxcM
nYPUsmVbNyxHAgQJMABg+PWzurVr22d/Z843U+XqsiQ2m80Avu9azwJv04CLew79Pbf9dHEIey0l
4Ye4m7/quu9Pg4xR91Zdl9M5aPNIl6lPHOfKpmW/zHexkprMcVNfe2PheGxKmwFVnF/bIF0W/8r7
SG6lVye4aqN5Z6Ie5T5LCjp5JqtrutwWdSWWqax2OvPMpVM4g7fHbaLPA2fPJA32cvg1VGQ64eD9
mPq629ZqhZmREHh25BQ5lh+j+LMPT2Q7CpT4EenXsxmDj5Pnq2vSXaTv5RSN8yZpt44DO6GthC0m
BaspZmN3mO2AK/Tax40+lE2J8TsIT5Bmx40fG4VLtv8RmeVWLfWtW9hZr+FnB3cPQc1nQeZg2084
ohF60ETPehvyn71u6XPnmY9ol8tDGf+yKwzKuaZp0PEeBXCfzo6YDhUxqlh4u6ZkNTeqqidIR9MW
Q2EaEB2/SEvKTbDGH8pEssxTanoeJ/6TC7nT6JHyZMEtfhLqdeIMghcuSTcZv0rhx9u7W5jzaQ4K
7iSfeag+uFrqazl3Y9po3P78pfpcleg4HEGf12mRMFmYhQnm0bTk/FMHl2BTLZ+qVRx1BRF17aIv
xvVvY81ylvgEtd1SFpMJ/DMqCBOjNqxktGRc9s+170zogdr7fcLuMF3LsrfTKdLQMZugJlkXTzRl
5XiIhGDF4C0si1x2nqdlFwRVXMTd2GdcraJoojLO3XbdKRFsOt1X+dBMl8lbcU32l+BAaMLTuuwH
nILoOZEmPnVnAVviNtIoTSJI4OG9m2Rizteqo1kM5itr2fiTEmwnq7uNsnWZhw49D5jLLLfx+r0d
VSpMzHZ+qY4y6T/TyY/TqYS+0oYbRUSAMXFkO2rCp2BaFMwluuaeW4cw8lyS1QJVOZMijf1srVSQ
RsOStk75q1RuW0Tw7FxDF+h14lKu7Xc0V2xb82qD5619nTvPhzujPEiJJq8rXu+j4Wcz2TonnAs0
YInGNUijS1A+Da1PT04vb0KgwROLj8uzttc4MW/VXGd2XJxsIfGnvrVfFZvYScDtzpMabqenxAYx
4JNt+wG+RwdxRzsWerm6CrTNRT+W25iFTu7rJrW+XvZdoFRqLaq/ic4fouBNsPXCW9psYL+ZgxvQ
NsWtxBOy30TJ4mVIFoW7qoUt7Y/jhszVtNdrJ/OmUy+G8NfOTLuELjSFsNjktsMg0EKeqc1dt19j
kTYjoxtRwq4PZynyLwpS9SdmKd49mmJwbFJw01aX1ummo9Y0rwdpUjaFuNNPfVEKdWrdacxXrsY9
63s39/h0m0QV7sUH3Yi1qHsGXsBvjyVOko12mMFARbznpU6KcEk+ioaOu5kPXt47zEnJorae58C5
cfh3lA1rrmOuMi/yn0VfjjmH3JxyFxVIZxVauKi9CTKhuA+SPptWM8DWD5p0UOJHRaWbSU1uutER
9ktUPUWimYrYuhAb6wCN6fPa0vC68s7L5BrdghZ3g4SvF4qGEIO2ySwmODhg7vDvckKhPs+xykvP
qz4JfR3MrxK1+fPqyeQykrWQfqmx2SpdhCMz4xmcbs8qml98u/Q7XUKWmyp/vBrH/dYuS1NwQa6j
sSZDxX8iLm7PttHs3HdiF/Yyd+jUvw7hmrlV420n6V5lI7aDF50ayyBvJz8F+zpFYt86uJo62vtF
1TlFpOiumlADGnei28WTQ4qRFsV/3UZblwUFoyLJtarjnNKxOeJRdhvzqV67X3IwKJF1kzWD/yUJ
lPzhh+0haAuzDOpcs6hOJ99so9XttwPB8NINzXFt3bwjM9usQYSmqETpPS0p9lSMC6BMWxA0GVmd
MLcqhiLNSdpM002VGH70XKZVMI/ZMoKT4H71LVpqkWnrenlXr2dBRsjwSyI2fLGnIKzYpp7bkzHC
pDEaB9gb85AvFdk3nbFHV6xbYwJxMvPnQY7j3kFtlGnCizlkzkm0qsraFrpep0yVdzTWx8kShpY0
wpFayBskY3qY2vU5nMSS22n9hmqDpMPwtTFhnenp7grJ8FA5vLr33VPuzXQraI2b3+K2z/69vgk1
eI5x4EU31dElhFxeLrjh1dZvrnO5RtAY9LanhSfCHby17/WgVRENbp3VJYEkhvbDLdcqS2LvEI10
P1E4wfj4cdPJ5sbH9Wm1wl4NgUhBIxzOul+/wa48R0FT/1wjZ48eDzezqlgYvgUKnPG2LOzkdGPe
4cFF3+oREICJxT50VHUJqMG9b53vLaNb1MLfYEIcfsZdI4XXpq9hOODwubikRX8eOD7Tw1gxOnEO
kSBIW8+oJ49BOok48Yumj/nOlt0OrjtMYw+qtpzLFjrPmBNXfklqeQ1Uq/LRG2C+1KdmdsVL5BxW
PjenxwshdXsKohKdhfVy1uFcGMFwoIgd4UqKJqcJFALJa3MYFJp53noczlGsjmtUZl4T2U3UhW9c
RfBu2eo/JU6PURO+IqgBOBFj7xz1HHyutDwmDbN5zaqrDOr2U9vgWGuY7zLkNq10AI7k7nS68Ks8
G3ofhT74y3WARXhIYhRcSxILjMzjjDUreTRhmCa8/+CbJSrGLiE5lLrWJAcyQvRCgH3bY0qIbLJK
Z3wiGeiTKPUjMT8Jb838WS9ZoOZrGDdqK0ayWRN/KnqUgSjifs5yhW8JHXMyxhZ+Avcg7KoxjcNA
FZ27lgVbUKAMUIioOx3BpazbRLbbyrP1pSLxTTgtVOvVEpTJCYQ7TSF+hRp0z2ynDb87h4qnYyeW
woTePhnL/vJ4caK64DwobODzPe3oAtGfOdtuxjALTY6CC6uHTwwVVbhYuXVKqDg981Mj4/JinNF/
mhvjndg8HYQPydW3DP1pqac0jtb9GvjJyW/RCkg5PFW2vxfLBxWidpo1HJCl2sVSehsXPMFSrUdd
N69VHwQnD5MSbuG0Nylzmq/I0fZF23QC3k615OWSeLk31Z8UjM2lEU7RW+80zxiYVNfvyWtNwW50
pLUb6M7Tjo+4uXt+iYtstWzbuDOct658qmZU3tVkY9jQdr35jY4zd/VPlRHRS9Ku3+M0MR597XyU
tR3JHNlN6RKa9lTr+GBCHB9fJFsetu2B8uipQo8weHFfJH7bZ6RvyC6Yu1++4D+i3ok3vROORRcN
tAj4EkFBobgEVtVtV5xNygu+NW0C0KatoWICP3NIdBoHoCiyivaxCL9IzqEu6eRs2rV6qWE81rLN
UBZjZGw+9u44XQB/ebUqvKC6wglBRyfjPXp/3GUw8MOGLYa1khluJBAL1bJRkTdnY1vvOg8HfUS3
kDYWhhof8BZTxRtvDjd6rZ4MDDLId8tItmMPPFC2MDh6eRmmcEG3OR6r1duUEAtT41iWDwwaSqcH
iqIubxDp2JIlajaembGlFOpbu+xhA8KsRnlA4OxuBnWreLluEs7pzpHGzckiv4TxB9+FNeRYcVJN
AL9GQt2Arp7U+8CX7VvbeOi2oQElermh5S/3uoYb4yYAHIbSy7pyGG6I+qBXGvdQW6rcrSfsMy84
TCqBFA87Aj2yQX3rLNeVNUlaN89qlOiUZnZgwPm2mKUSCvc0WrigaHpD8H7xnK6hG2dN7Sy52+gv
oYjJzglQPxhOrn0w6bQMMO6uLWQzJw4LRTv2wYZTlMXd+kznkRe+X4LCVJakJhhRuq3JsTW83N0l
77mr+ZZr+iNZ0Ns3idzZSblbSYcDYLXlUEv3Vbh1s0EDvxyS+8vjf9Qxy0GHbADl6NgxnUsYpu48
5qICwvJ4edAYQBPsmjXODBOagTEa/LqFCgVK6YCOA4YPVyhYGfop0GFS900GNRq+EP70+PvjZZz7
aqNJ/BGbDsu3xhE9JLOE9OmOT+z+0+NXFeTo3ibTrr6jbZwCHGoitaHNCpMKYwaEeKE3qDqLVSU5
BuXxsN5fwBQCAKkDB32Yj45vMfYAhdu8v7w2Gl86vtNnktQfosHoTW3D9f1XmFx0QmAHNOpf9PK/
QLjfVbcMvGJ/Pdb77x//9wfV4t/jPb9/eX8q+O+fMMno++PE/+NSeC7GPZU0/nOh+9b8va7fz7W+
88t/b+o/iOj3B5D/X3Dp//jH/zeWGtkCYMx/c7v/BaX+8wFsv2Hq93f9xVLfn5Vwn0QswpNgqf8+
C+9fNDVawv9FEQ4Ga4280P3Bvv/zf/xFU1PvTs5jqiRwv1F8f7Lvb5raw+QKPp70hxlHHslI9/+H
pvbwff6kqZHzA0PtIl8O7QwzZlFEYf6kjPXq475hzHyRk58ULsC1Ts/0ZCEXb6uO2Y+KznJvKI/z
ngdQCwdYq67m3ZaX5sWWOGtap/letepk54RtSl9eeMjynuV14Mlr6yTkUNLljZO427IBHOecUCjx
3ccpjuerrJf5mug43PxxIP4NQB3Q//rFwOSgacdzEsCMh4jM/fnFqFw6kTBjL5Xnt9spqTM45d9X
OgQ7pit5UlHEoA6YeisHUmYGldZpmGb30jH6U7O1g3Bvryrs5rPnwm/1DbiLGOXSeRBd4UyDeYo4
o1lCp7upVaEoi8vmDNTjhxUTB28ubyoy7oeoVUPmYtCBgtfZI48lhB5H/tLoqo9wl710obogsp/2
lZX10TdTfRR6BDkajdF2WURVhLNbHn02PZWExPlYWv+jgVkFkYKyIytgI1R7iWboJVw7fycp7M+q
Gvh/s09DTEz4z5OFYi6cOAGaiukI/one40bP4jBZ9KVaF72xhvFNYqkpKh1VH2zlZEG3YjReKTaW
E76VXf2m1fQjptW45UnvHUfdbRrwEVdrjb/TSptChhYARL0d5iF4ATMnbi44rEddiuh9D6cXNW2j
7cE24QQZ3cojqpeiojGU86lGIc6d6YPAY4UAtdcvc8NkmDai4tsGRXYaea260NllKFLLIcdF56ZE
xc3VBmXuGKvrvHejKl28yf3gR9iXyfoE9aJ9XQDUQOifch107CxcdV1AMUQdFxlfVr1jXnATPF7B
M+r21dOXPjD9yfcbmArhdPj9YhM+H5al5u/DMsZBhD/+zTl+fwDOP44HnmDsRDjLkbjA7B33a+CP
KARau2qCTDteZPBNVKs6xmLwsetqshuYgeZUeoCsaRCeZwtnXwysCEtZ9B476n6oD54MLkZT58S1
LHxGtonOk753EFH7e1D8N9sZ/mMzIzdCPAt5OuQe7y/30+qPzQxg1NBurOTF8ch4qEVwlmEbFAGb
AE4sYfLffNwjGfFHQsS5f16CSbMQOsI0mo/npf/5eR3O/xWVmrrAWXTZlbhQVQUQSuKBLhhcelm0
kAUH3P7S44JKHTrmoGTUMYEHVhnq3KIbMMzqVftOu4epj+EM7SXc2gZt86tiDbA1OMRbVTqyGJMl
OivwUZvOi8A2O2WI6Zv+4/67j1X/+oVwrXmBR+8TId/vJv+6A4EWcFbJlqOp9d+ihrFjxHDyz7E7
YLiq+qyCRl9gYj5bjLYjJx8j0XFYjQcGtb9x7oHSvUO4Lt7kLxgNx859erwImvx0JVQkn+MSXNxV
wIZcq+O8Anob2YC6dcDI7uLbRXKdNnCk7pLpdOjjoc14a10ULL57cO6W0jhEzQWJmh5NbR19SlrF
MsYOi1uyi1ubyIXlH5u81VmVrCOGgA5IcTfFqBfFfCZTg1I9cQrpejNKrQ7A+2h+6dFhFzI4GtkO
aKyGc/cUx+iiu0Wsuyps4KEpOUEm0hKT0P6n/R7cIzb/2O8IO90nAEs86GH0fv39ceI6oQlkEJTk
vIDLK2cvdUkwPcfB8HliBAOvrWEXDTHkErb8EG5c//QhGqELmb72InKzQUCEY6R29mIidqs9YNP1
gv6A35e1Yzb7ZPkB2edChb+fvbB+qxWw/jZe2FWwZXnqm1akQ9BgJJIh/UrdEsp0d6N9DNhvgO+/
2DXKvH55AgE6nVaxmjygCbxN6b5MnqCbxevpjq2xzdbekTsSOP1G0pnuuAwLQuQEfp/3BQ1lc6kC
ndpy+GLF3F1Bmg2vNHoevHH+FI+BPjsuJlz8TzsYOcH/cmrfH77qozNHrUNxV0Gh8+cuDoeYO4Cc
YQS0Jc96t3GPSWzcozPOTp9W3N02axjvHn94vMxxWZKM3JcZCFn6ze/3uCX53q3d8Mev/lgkiGq3
Tx8r/7024BHQuqMFZt1jvY8/lw0UK+hU+Ij3JdeQgHTkMc1xpvjp45dkGto98ZrNH298/OH9Ix8b
yCDcbxJKX99/5z+24PeHQwDEwSgj4+xHpvN/+51+L/3Xet0fbRUvh/dt+HsT/9jY+y5836bHMu8f
arr2Wru5O8AWDHTsHNV9sccCJR1iaDb3nx9/ebwsj93/+C/FJSv6C8M9fusCUCzKsToRvzxyTL2y
C2D4j+ZsXQx9Npn9oiZdudHWGLApvv9qg/XX2mixWfTHhUy/rKLu3gj/hNb9lzNryKcL/6Ah+Daz
XuHLz9+QvAug5Ns6m6JYZPN8NInTfSxNdIHadZf2w2q7AorwOMpVFaxnaZwCZFa1NbI94oYPGMlt
7AaxmgL4DzzhUoX3nhwAY48yQZTexfMmlS3z80RwO68QK+Pw7vUUGmAknGerhmYpIgriESaFVw4q
jZ35ZbpnGYzFOngcKeA+P1GdrVlPAPG1/AAAMhsnL/w0xt4l5D/62l6siOoz9wlQrlhvRDg8uda7
mipZClFPUepo8ARtqJc8MmTb4jLIZRLzLQzIG/MNbkghKJrYvtHmLW4HIAd32IoDJg78kUJwZV1W
U/AFKkmwVUCl2jDOOjIARBfdSYk+LEbOkjSh7ud1XgmUG+hV0aWqRnaEcdOChkGGIEjMbgiHYpSD
dwr6qsevxWdROikbrcjcZv5RB92LRweTq9C71dVwTnod52vS3taKYgePHcJNI1QmeyCyhPraITcH
PEw5UyGN/R5BAh4aCRgPukExq96/+vRN6C4rVedvQZGRjPlzGo/gKEkot3EVukflYGR0c4zbfD90
O9KHx4GF4QF37KMwZEBEpeGbGpREIAAA2ghHr56/8765tZEkZzzfrlgU9ZH2mzeVS6AjRwhIIuRW
ZzIegBHoUwvmBnBYsJ8ZMjbgiTFVkYbGFOD2zvpTHyxbaIDl3vRgZgchsaf1Cjx0rr3UG1mVr6ZG
ddNiKBbRRxeIbLp6FcAODnZphtDswXSKVhVh5zto/a23HyICP3siS7Z6869oEodmfqVB/SNUZqPm
wRYBrW8S2a4TfMeDcsSSqamHlDaZovbsNz9ip4YETUb4TeM+n1rhnmQvXhCEiGuI4pzCRnSnxUtp
syuJe9RN8DrXrL9OMDM7ZgYcMvs09OGQa3R6cHheGOBaAM1hWFRDdyGBZwpVQzTmSDGdoyrZ2J5W
h6R0C1vLD77ttk7MkTxQ3QD5C0CM5g1Y5lkGqaYYWuu1+bFSyIxepydkbLO1c6oMFHmAqtteTKuB
bE7OqUIsoxtIg3BNeAk8ILlhBB4oZmDQRYysr7tsJAAIS6orBiwoYaN4XQwR6OwQqJGef1jKRSJe
6RxacOIZjcDU8bB6RqpixqVVF6z82oZE50BCcR7M8Qbduj44C5iYsFou9kNUN1dk0AoHAyIykbIE
YgwncQRTXwRzfTEj6JDWILpWB+OH/s7hu6t7IpEC8BPhUp5lt1tRXwIxVR9RbG3qOvk4hciBgcw8
uc7Y7rXXf8E5BLpRxoDoBYIZQQs6pp+Q8V374AuJsf9mxPoKsDDehioOq8k0TjqLUxwqxD2b1k2V
oS8eKtQUt23oYw4Yf4/0iIYCg5/GHm5oMEqYvtER7dC3oGkzdd/TPAgBz8fklXDk6paw+mQjukUr
NmfdqsHtrNuA12eEE6fMVsBYlxmxCQXvy1kWCloN42SDrmitaf3cxLyw3jI+jU4N95TuDYAQHAB/
2IYh9OquNALh0STZrHc1TtcqM1q8CQsOHjtyDEORNfoTG8V+hmOeDhFd02FGbikx+rIETwq5tz1U
vDGtO6jH0zq7QPSe9erFhb+gadRtchwWgK94wjh41wYieOP4W+qaNOp7crRXCNzese0QRdLBC3ea
bYXxMGMDEE9agp3whvZFlg0qUA0hFH3RDhCH3LrBm0nsCUgj0hzS/xB48SkqcYRXzfaxZXG2lCDK
R76+eH2k8OXmHqagO2+s/xUXmN02hn8UGDghxY4ecrr9FlzucRVcZt1EESoRFVj+Op0TR+YL7Ml0
qPHjEHWvvXBucPLWLzJpEc6BdyGTGlajH34e+vnCMHR2LWTv0jObKOo2vaKwRFtELDhrxGYSgA0o
J9u5Htu0JPOCpH0sC2Sa9xM47tz4/osLPhcCjsII4BGGMJH+YAi4jN4liH+SPtokOjnqsgu2ECae
onp+qS1ACsXOji1/Gil+ukDBUxcYZbCubea682dHukhXMwfXHQzelHcsSOvZnHswIECXgcNUZs10
ID+FA9JnK05y4Po2Dwd0TSzo96w9jcmwwQDDO59+n3iyW5bS/ewFxBYA9qejrRJykaNysscSj5fH
j2KV1dUJ2Qw3frXF423397vYMd/jCp9t1xWG+Wxm+OtNtEUOrf7AtfPrsY5xWs5EWfOpx/10Q1vH
O0xJRK4LAYS83tch42fbNvpbWAueq8Bll1mr8dQYv8z9ZCBfbDsUj3UhKgOQCPfwZ4/Mao9WrN2a
dlLHmkH1R77ga0S64YfXuseQj/ozoa4sYo+oE2SX6UwcNueJY9o3QOqbx6LY9YDxEHF+qZld0L1N
Ys8QZXkeKE7d97XZc40g2XcvIhO0bWBWjoz1IWbEblxILR/LLvkc3D8XivPZlhH7vMDCKhCzY6fJ
6OBcibuPSpPlba2aYnLD/sccgaBfkDZ7QclznNE1Fwtw3521LvLfyOikj8Uc+smHffYNDomT+VwO
16Wa3UMw6n4zOQN/jbz49bFksNJL3TLvE/yVueAIEh1bMlYXlgtCZQ4rirxJmKgK8vePuALiiImz
6xdEFQjic0h+RiAln2nvuYCc8F0owyXjyPHbrBIKyDZmVxOp5BAupdhYZ9Do4OMPjx3kNv0Tblf9
pyYYfVifOJl60Q+XIAJ5qxxv+KrUnD0WBV9oANCq4NaJstmFitqdNLy/NUBZ3nd3gmo3ZnH5Fen2
JItdQi8AyMWRkIYUPeDN1zJhL4+1Vaa6TfVdNoAPVgwgYY4tzrvL4LcEpZqhXzWcl/cdGZMplau0
Nxjl4y6uWLdzJ+3cSoXYymNtk0VAzcQA8SusIxgRczLu0p0AmtGLXuYFUYhWfZ/oJ7I23ldbMifv
7eDAQlL64kEdfF9AkuPg0+ZbzbXJCRnKkyWEIQ7mADtffPk9UegvJ/AcIQPARyd1XkAyna1ygXDd
PwJOEgLC3/F8OTAnsV7PZRiN58mEbd7XS/QtnuBf3jdlMFBXdZScYz1wIKNmzFsV4548+s2ptLvH
Uij5ggzmTXdRM/FPjwWcpI6/LuT22J6wHJ1MLty5gKvRp2REsnxa1/HrnSp63yBEQDOFNMZl6dwa
aFOU5FIHMZIZ6/sS0CGGLI7b/orBMziyexANaW/9hqTa+7cOEjhkaDrda4N2+qiTqCuQLSm/MJyV
j08ZMYdlhh3Enqo4aI/tfWi6N/dfQq6wKL7wqnF4PIABT6Ly48PaOF6x0IZ9kYvZPL5L6ceYrUCF
O14Tjt6gXw+WS8yKAW/0cw3y4rEeTTCvQR+F4jlYhv5Q4Z67CUNSf7aV3D/Ww2ZICawe5ufRI9UB
+dJ+E2Deik8oDxBKwFEUlTYpxyXxjBAS3SP0MG9qhciaF6lX5VYZYPz5K4/BzQTOwo99oLxb0Dvf
JyKAcfqxAz0gLK8xQ7XvMEga0f0NCLadoEsizgRreeeEaGxK5k1v7nh8vNEL6rnQ0DUOuJ83he+w
cRPG8uPjj51CHpMvXXiZglhf5i5o39dai/U2TY75UA9juA/6hhZK8OVrOKG4CauvekY+yzhM7ZPG
QVgRAt9j851QTxlkLf8sq3K+ug3Y3MdmWju/6QCAvhl9/8BVXBeP30vWoYnU05duUahOZK13oB29
1zWiu8cmKhCO+VQtLtxu7j8FsMve1wivEzZ+1MTPALK9o10wVj9WGQL29xrDPsezhleJ+MnWSULx
GXQ25tPAvrQzW/J45e4Rc5+Uz3qRHHENNGkkHpOnTro67cfefepG7p9WDYri8d3nju0h86yvSgbo
z9w5AimUrF86EOWuWdYn2BwG8dkSk1t0g3fgNW1fTEy+vG8VptEBkammq8MDeo7JPRZ1P4Aj8DtR
RfKjXcNurxOBHnc24qt20sfWmnUKin7kwZ4h35Uqr4RG7Knb+94ZjUTErhsxlpdgCdkIBPO+1sE1
HycIoy+ROzWH2QeS9vgSDTl6uNG/xVVvNr4vccrMKvwYDxztKQ4wcYkLnBanmKmm8vo47ZYYraFX
bx2PfZ8tbt2VK+YDHpg0FD5KAl3GUYo5B5AiMsiuDXX4Rty627V+0J8Vq1CaSN9ukSuOzp1AZCaO
lhUjocVd1dwS2NX7OvJ1OjloVjFt0RaZG5YOiWkyVH7xtdbrbYGJf1YJ4OS4S7YSHSxuMd/CRZAn
j9O18Cek4O040TyZwyWH/fIWxR3sGZe76Oxi9VHFyZ7X05y2ZY/pImy8GyR6QB7pCKkDdNUVNV6G
XFUBp9++kIa+QcbYIbIQvBqPVch3WLszofY2LMI1OgYdJuywg8G8MaI/ln3Uvb9UgOfTCHrS/aDJ
QxRzpMYf/52DoD0Y6x0xAwLbxrxsD79//8/lHgs/XsAGycP7j4aybSURp7qv+bGCx+9XO+AzHv/9
/UsM40mmooCmhtbwxUcqYL3bqkkpso6WjJAL4nE5Y10qm0PSFFZgNo8ImVFwPW7GiEYMP/4/7J3H
kuPIlm2/CG3QYkotQzAiGBk5gTFFAHAIh3DIr+8FZnXfqrz1btmb9wRGMjNIAgQc7mfvvY66JvEX
DG2QEDyC2zVm+kPTItBX8yZtdea6JYbgscAJbaDzH3qVcHB1beX4c16QQ7TJSI4rYCBaYKgDdhk4
ULbEBtjCZEF5FNglHz1suL/+QzdiggK+rg75vLk/So86xamdNZgv2CuJoKHMK/2n1DR2KE5Is983
IxHZyQkI2eFO3AS9WsctJKCk6r5gv5FHbwb1hNmi8Uj82U71mHvWyYvqZns/PFxlDaa5XsDwwSvt
aiwYRNW93XeO6mh5wDCOTZWRo5fTQdnfUsW7aqxUNoWXvBkd6I2mUa+6iHG0pPyB6muOFayuaSmU
cUoMqW3ur93/tSCvv4BFtIrbMV0VA0V6r64WRUHCh5V4qazl/YvFlghWsmQVJ7OcPZ6EFvGjbZmO
vTYpL1uN9hTnYbeWZvdgi4SID0tLL7DWRpE3B98HtFOOgHbkzHKRBR7h0G1xtafEL6heOb/Oj1/v
7mAXJPHF+ZInRrAUA5aX2FZ7IxQ7QCTpbjLaYh0xVCGx6BmL5ZYUkkPJQST425zJ05Zuh+WkU/Vz
axftVo8RUkWbDVuz8U6uNuIMSVIvXKBCI4jgY9tMdX9N7GTjSXg8MgqCA4tFWznJIdZFDaxArwEA
DRQhO7Kujj+Qu5q1vbKUjL/CHNdGbLkHbQi/903zQ3hYAv22xvZeWQ92V5TbWrqP2YT33Bz6azdf
Qvp8RTZa9cejGuWMEj+AnI2K7W6tUnfaFbV1nZLAPYfZyfVb70mTVQxSJWN+KEp/3/Im56bvumXW
BPamroBzCOHYa+ElYkXEEACAB6aldfuILIi7JKo1bkHZBGurM9oHLZnEPpq6q3La2XpmZceiscvL
NFbpKoFhdMYubW2EpWVkOmNniQjpbUhmW4cOI/8hHNQiGAfmFkPI0phbwzIYNWuLm6B49FtnU1QU
iCOgInqJ8U0fXyO7D59SGYi1lWVy7ejZdNEKqox8Dp6blpptGovkYIwoHMLBX5n1hgEHKzMPsR2c
R1V6G/dOU/GcmOVQJbMtUfmjYIl8uG/yAU9koxssZ82TPw9gsWC4+9cmxalJvAcsie5p36M0edMD
H8uiVYUHTbZXN9YIAw+IDRREPL1qDqRaCBqADiG/vRkH8ym2zAr3qsMS3BfQV1jorCtm/lzXHWnU
OOUAmUa97S3842o0D//aSBePwFQTZdZy+S2M8wAOGNmJ2PV/ff++4QoYugyHYYmRDP4Ifp95Q8mp
PSTeNSC1uG+4QA9KicekyJxNZg7qcH+p+N9HXSDwYXjOdZpJVxnmwIw4OJdhMm/M0dLWujd8iVI0
cao1T9CpCDnbUbnK2lBQDm5iAhn38xx2zAxF02Y2mKPh+owmfd8Trz46+XBKhQwIFUDQ8zxuo9Vs
ULpv7k9pZ+BlOBT4F53yuTsDj/p5T+6b3NKcVVgUc7EL7NE0b8qoI7FfQAoy9NjCuC4fZKe/BjWj
fBzyFe4bX/f+eARB6I9HvJm1KCq0/FSoHheYgSdzfmQP4Z+f3v9BB7KWC7fcRRWArPsGYhf3lSp/
i2xTbOKZpHff5BXjWMiM7dfT+2t+qqGsx5GNzXFG8VkdNwORk1n3PULDlvvWRqT4wolAtz//aWoy
lMTWJJdODraE/MWwnzpWkkZZHunUCeBjyMm8obpRGvUZ2019Rj0hgZqbqZdXu5so1Nj6MyZti7kE
OJveICisRsaLaNZgNaWwO9SzUMqxum9cZuvQi5L81yFp85SkeRZQpZzPivuepDSG2YYs13VtV5BX
AtKX3vTWEUcHt2A1Gv0O7lhxuA9bLVcnjCCXDIcePlFea0keWdk6ivvh4Nj2cMDoQmou6IHRTYF+
ECQy9mnTLFkiMWjnHpeaWej5H8+DmUASttkeNyuRAKpqQKCsZV4FJVldEEJz6IBaASd7a1rZIvOi
YkOK+TWb7XzjfK3ch4P7o99ei1xOxEBVKK6cF62S5KNxG5wFnsR1FtczsSQtTmiF4OUMn+Bo7Pu4
BqNh6+W6Qt1lMWZKIBBFWm30QfiPg2tuWpa5NzSYfJXT9ZbCtJr4NcIeDqQGFig0zu2QtJSAI163
op3rTenJwsVzANq4SYa4+hrk5jlBYn3NnXo4+njnV+lL7ATDpWim4KHAY0AipoPDhiBoxWhLNpI4
3BCj2Y5JND72VTkuXaUVq9B3TQqEgUsk0OyRaQhPUIs1nZPhyG2euvFT3qe5z+w9B1xCcG1dinm5
4jkPOF76Z5MK73rwKx2EVw+OwnFYRhl6uIvdcWNOWvGU1wVVYtd6Cv2qwGiKdFMnOOIpvnyhg7la
5NU8WgsSzk6KT5VoErGt0ZIb18zSkwdeEHXGN1ddHgWvWSd+1HpYnu/PqMUzBYSggZM0SJdN4Njv
AwHNUfOMr62tuWvLNnBfmHnyPuCBvr/ulR0qghkbe9dK62ud11sphXMJevlRj5G5ClKLmlKl3J05
YoAxJ+e11J363Ubn35eJka3aqGjepTE5qyEqEIXmf/VxLxOuIXxYBqCAgC5g/jZijaAF92avG+t3
zw2BvwXBtwpWJ7OnaU3sIp0zgTGlHEiP/XBRDylxhsf7xmqwfmL6DfaiSnFKlNK4Ka3GPJA7r1Eb
tiwMmHg0TjY+gcyi/htcKwylV2tskh2hnDNCSrvWZGw+RfOjEarmOk4GuattcuJI9emhSe3xOc5q
bQkOa1yO0ygJbHSKQ00KZcjEuOiEjs2tnMKDNzECZSRe9nrsmLumyH7mNYHutijLa9ClaBtJQ7HN
nrSVaWE683272zBvUPDN0uRbF70EabeLSku/Dn5yaAZiucKNqlec1Nm+GDq8tM4L9WQdConm8CU8
biMGdIrAbiZsf4M6x1kGiTDNwkUmUm6FgWqe6ypvjwNZ1J9WCi+uabASrY2m3fd1VV5rBA4Ih9mj
PQlMX4P1AAnjgjJlviaxpV7dhKFBFIRpldjXQ9s8FuyF6435TlmqON2v9IQ2E8ekIAyD1DXyN/xq
3OqKS1Zk7dky6/P9GTlT3lqvUG68aqFZEIascIofd9qQ2e/E/bf1JPNvfUCdLexERKxp+KiGcoQq
gLgMNtfbzw39np15Ay/q5Ajq6LluQ8Vj1bc0gS0uApGpJ7xPyxZrBeH7uocl5I5AdaZy38WobaGV
rkKJWaQYEbTNkLln2BXWF5Ni5SIe9KVXGvE3n3yGBh0BXbv9wHflAlRqwH4GkXwNAsoWbuV/jeZS
AqXK8oRA1AJFCdxNmTo60sc4fvczd+1P8fQRBB2OqCzOV5FvQeXQJak7e1Qv0AQZQasp+U4Of+WX
nvtTE9WQbiCKRFumZ/5BlmrNQBZ/YICMNrkf54e+1YPnliDP5AzvRhBZb5WjE76JuBGYsW6+OWH1
x9P7v6JwIpI6TBUl8YwXInunchjtL7bVTNsqjLCszE+revjS1UTkhNl/No4+PXQx5IwuyB5HzABH
sitMcG0qwI6bp49ULfOlW0dopclI3YTyru5+D3Lkeywe8asdIgSgkoy7iB7nl8nQZxlGVguS3f1r
sSVPan/qILAg9GXvRTF2oHSG/DGLmCUlAZSoHCv1Nh9T8aVP6g3eRPFmJ8OHnkoB7ST1b2bjP1e+
Wf3sgfT0aQg2Z5I7ij8hkZSZQlc6DMsyo0QKh40YZgRdlbj3K6CbiNTSEG01EGOryNOMtUWg5THJ
jI8siaa9PTXqbE/eynBFeS0Z2XNhv3Wu27/kXPOFZavHRCPyoI2+secksvk1fEn2Mc1XbdOqw2i7
zrHs1IusslcyE2otrOlrZkpCLnAuXbizyQUaj7Gq207bRVPZvfM3X9IadpKquDBqpOJl5U3hclTU
t8agZIlm2/77JAd/YTfLlJD9FwuFP8fYX+nGo1U12yyK9U1lhy0FU4KylJJ2lJmSpeP29q7oCn2+
v8q1plIyfSZ1GSvMmkdUYRaM5NaXdhqqtSxM76UeAaw0snAPWQoPyXakd1BpG5GwQMu0MucsUj3+
iCORLqCVfosNopqdgIhgRaO2GhmRvzfDD3vo0WB7qzyTjpUwJjrjoRHtddDMcAHQzjmJtvla10b9
khFoP4RzfdP1a+fmf5C7ibYAeo3X3jCzY6By41Jw81wwmmbMfAvrbZq8mwBRrcVSLVzo2espNKM9
PYwLcEBCbJuJwpwPrGdPFslfiJqMR6T8bIsswk1Mj8YTVhnqCoS/tqhf8my3oPocWzsDgYzX6MXl
payteuMraS7/+AWVma2syHx1c9g5fpA2tyYRG9zI2tYB0rr35XxUdOsFgoq119OsPJIZsfeG0UBu
cYZLPA3ag6G67f2Z43YhAqtozk2hsIBMcFQQt1aOl1g/0kn+qB3D3uT8+uuoSQaWEd6txxI7LVKm
YvDv4upBKYSMqpremgHjheEn9kfQvRWxGE8u8EAMlY12pnlGfhzHZrYS6ccmn/5nU8utp7U/UTKe
ehFiLNRI53fJNBzJ0ZwyoEVvCWGbo4Z9jgy1CB7HtA0euSpHzN+GbBZ4tn4S7yITE9vTDplKvGT5
vq4b/1DPANlI114aK+IsbBoqpK45PcgiPZOia7nfEaSfQhVvQEtPGzOGR3BfTDd5q45hZu77vgle
MkPDAJMkT22O7WFwg+aBIcqT/kPWs6wq5z3E/6Sdq5AJVtWvRf+W62N7pnjhPzTKy1lXdM61juNt
HowTORaj3CMal9BSG7lOCv5WOVVw4O3eUr1/T1hUXc0hsiAHFeshrMqPWXm8JWBHV7YgXDI2RKqd
HAGBvYG2WfbdQlFfOGj9qLZOWXynwvsIj8l8JuHsb1LKY6uyEfq29Z1o4UBGXii3ORR21VzhdB2S
KI+X+XyZdE0BNCKphud0dL7pZe7OS/j+GYt9frSZ2i9DSAarSDZb1VHgTa3wLbLAcGX4WL+H84xS
G3YEisy1TOyl9J8tq4L42HXdN58bi9sG8Zp6UYY9yEjmiCj6fQi005zaNy0UawL3Cbe6kIrSRA4W
OD0cngJuntNYL7aHyuKC1H00tSRb9Ziwd1EwhJsM7QMJv7nlPSJQW+ef1GhQ1QwvP/XQ5Q+mm1wq
v0xWmS3kzvG7flnAMiH75AD9ycGethbZNE3P5K7xDYNj32IXg340zeldawc3aFV6Mnt3Cp0SC/X6
QkEqopgbfNO5WehxlL+UnnisvUZf2Z0bPCampbalF3fHUSbRMTcid2tI9FSzRctyu49cVhHibZ4d
B8/YNoHiHpZEX5zI6/nCIa5vwnRG2ZxndGmmkzgBNtAVT6ZwWthqKfqTwVKI3eZLWW+Rgi0B6e25
FCksbwy4awpYxiWvhH7hAq4hBSqUUdtm4WfXp7tVHDB5vdaSJl25U2cwrsThNi71bsv9A1tUa9ag
dlR9LBPu8rIe9xEG/C0zjpBoGpg7vYCSB4CwPtb+UB9ZKz+AftuP5Cbfhjo7V2lr7ZmbFKvCNinz
idg6Ms3i7tZ8xKoST0PrVEc91c5ZbKYPfpop7nB2fKbyBVgj0yEVZNnWzlVzBKGxN/RcewojgD5D
x6WcUQ17r1M0yqK9qmiTZEn+oHwrewD9YeyVEz/dX8pTAzttbi7NMhsfSjN9jRLde+2AxWIvDd67
pHafAfd2w3agdHIRCQxeza3MbTdIoo72zPChTuIZOxVLLpgSCKpVF9tIY6qTO1sTueKr5aL4Cul8
ddy2uoiS0b4BjfdNr4ylJaPoJR09YAiKGE2UfBVtF2wqxwXhEanhXeFLEgUcqhyQwl7T7OYldThh
kT92fhA17kI6EaW/3KpwuxQvHA2KUjWUcpwwi2j8poi857r1dYgMgANDGO76KRgOoCJOY8c8R9a+
B31N1jeFrbjT0wKLnWce23ggrdhxJMTYDu8ET6aFwE+BwOQN78xZMFKG9aW1ZxpFlD6zhihWfVHD
RZBuvXMoYMy1g+h83ySDxfsWBvidSC1rW3mv901KaXckTd1Dx3nvc8xQlYgEUPyYbIsbEMHR9EMY
t9m5Cbkd2wUOGFAD6Q7UgH5Iw95c5WRdv1KpelJW+EVztB1r8Y6pFUOBaFm++qBHHoqv5shwJ9oo
wU7ly02DnIMhJdOwbXWkbPMAah6yz6uaEGoCVgJdBcJEt42HkKQtFXubtTpYNC1I5VGnWisirNsw
RX4GqTYekpYgol/W5dHUUhYqkY6HvIfkqjDtFcowzmPDMlNmXsXcRBNbTLYO5yTrtqHPnlvXVmfR
BafIBUZgthKTWY7gDACGuhvebFVW+UGn8B00XGhpZx3sNGF27aNRUcQMLn6joKFHXxvLC64tKLFD
xnQEj6gMr9PgFJsri/yCdEtWPGIwWXee2Z/irUGM/jGKq/TNiZNVZ+j9uTJnNTBvjMc6sr195Rdf
jDo2HvGxHOmBUu2t1i3evMI4AOQUCDJVtE7GoaRYIZJvA/lMse19MwRvPPavJjxds05/oGOps+ZE
zTMr4Bx9LwhXQ6hRXsilJOwjqrPXI7zqTW/hzWqRIHTlLYvGS3apJI/P4JHtlApqJhhs3CalOAZe
jWQQkfu0FjvmQLiiAY4ucukgD/e68xorBczLzm+BCWylMjGk1NFLCXJ2CYJLfhRlhIDjOT8tZHa3
CEomog6zeCfYwisTh9yRxpkyFehxpJYzdjx16GvtpIpqXVCW+vA6jLUAN5KjjMJ3RU14h4JHuY/l
OzXnp6QmxlRZ+WuozPbZ0vyFkxeo9MxDc73Wb63m47fT0IxbQ8fchmq6d3yPklGVW1eIkQn8CI3y
f+qYV9PFLjAQNX7pc1pdSL/5kUzZm1di0+naZGL5CsEMUdveUNeDVxNCpu/8l9wrz3GarylaOYdB
UiQb63GXOIx0C4oezN70CCw/VZ3HodMj1gTNu9tIG8YnL8Vx468J8pY7pwQECirukoH6XnNbhXdR
9lQ1sVmeRtP5blPSWspWe88B8tKcouqfCMQOT4ZTRpuACCDKTYuJCDVZOD6+f4izV1Z8D0SVaBuS
tOkOPcZbKIyXO9R3i8pH5J6EWT16WCCUb0bnnrjWRVHPINEIzZxc7NQ48M0jXWwszfLOLuA9DM7l
hU4S8abQ5MrUbIg2QYYoMlKcLCiq7nwjDrZkG80VIeg3c8q4+Kb8qSKZsrahBmF4Md5cMGq7KEqZ
MBgSL8NY7lDFMCPWSbgGrBWdoT/+sUmCOjikxZTnjFPlLc8193jfaA2AzoRcICWXALC6okGFIasX
zP7Gs9fCy9STLFuUUebmsF+SCgMEJB/Y0TagGbSDWj2LeQMKotJsHEhe5a4UqurKMI5xr6cfRoG1
cRwNYL7jZBwUsxVK3ZbAxanB/nBhMlq5AChr09ADXqezrAEJPSa1lS1J+6ldp1E2HHut3zZwu9Y1
lVQCPIV/KOYeJwatHlrX84+UtP1jEMVi1YipWmuunNvNNPI0ozBfGvFqz+NuZCT+tsv7+hVrCAv5
RplLTTU/chebiT3Cniz7oTw4GWYN12/yHS71Q1DOLpji1oR5dB67uxl0bB/7hAsz1N+srlVncKA0
X6hMba8Z0YU+NN7DIFv3dVRc7wlBsV/r6i4epyWKNDVqPHCq/hpU3fQxuKxBHXBpm/tTDCInV054
xCkRLHRZxAdzMOzH0hor7KUTfRyc8ovVKOup73/0vdE+TQANIcHgBmopwZ5ZS25SAzgic86M1WlA
jwfcJY4dh+/CHrpN2uv63kzaJy40lHxT78jP4xd169DbGvOpGks42mQiDn1XNesQgg4M99A+DvfN
8EDVpzoopFW5iLHz7PDbHtzU1B/yPlGrui+uudlXS4zG1odbTbt8stznyiU4IOVeSsuF5BfhK27F
cOm96sTsINj1iY7dVqbiDTmQPjezndy36oNTM7f27cC+QFHGqU1NL7XiAyiEuBbhwgsFXkirbLfF
SM8kyEE/kipiyZM0D5no7QXnRbc3KKgcvLZbWHSSuuCbFktw6vbu/hSzV7fyiOY+0U7kNEDxPsmO
HirQBdwj4Lgzbma5plLqLrsx089S7/RzBqdtkQtuiYYVNS9D+5Fr8LpNr2leJFNkLTI/6A2hvyUu
hyLSij8e3V/TOr+GUmBtPaVhnyR09WJlwZkySvcxjZS4aGCCscmol8VQB+4ikgwZBh4kwqiQ67xo
/Eph9MXq6+ElqRqoZVlKAMDFsNz2ef3oNCZ8MfjOwPI75832MWuC7Vdf2CWEsUTIW6v8N2D7zwmX
+jZ2JuqLunoCYgUszycCtVLwIZdOPPjf5pSsKTwc2nGU7TMdz5NeYN6hGhe+2g3eaTN2D16cDQ+W
TtgsTpo5OSCzPSHb+mDqRnhIN4BU+5PIugJEYhvelCPwxpful044Hvx59wfYpWhtQKo4A4C31xXd
Zy6UkMulPhXpB8bF9whx8lhMvEXPanzvKuwJMtCiZ8ZP7PZQojGgJg41SqSCDJTEy30D/4r4zRR4
B7PPq9XkAe7uSy853TdJi8BRxdbtXsGN8VkaMPhXZQuSmSESEvqTYvTaAc2jfwj1V/T0zl+HLjKz
pWlridKGvdogBZlUAje7kW9xYlWLKswRdTuQnxXGHRZ4NoVt5amtLjTqT7bmbF20r51D2XeZ1sh4
VRywBEKZ3PnfyKAFz4oCF92SfAiA0mvWDGnWUjoUlIFxOHN5uAJJuLgn4/6PuPAP3euo4dlEAP83
RPhvyIXzrWlu3+O2+alU8z/tBOfGcH/85R/YBTf4LwrePk0hUXb+0sPOs2haiGblkTU0bfPeNvJf
1AWfTjueDw7BMQkmkgdtfvWwsw2atiLv6NAYXJKK+v9XD7vfcvS2Dw8C7IPlGI7tG1AK/hp6DKzR
1dJSK3d63T9IyMOU3RZeXFobzYcjk/h6/+t8+n9Gxf/uE01dn9PirkWg9bdPzAq7sMlPlLt+3aBY
Lya/fDPdU28TxuhZRP1DMv23xPd9B/mggEWQZ1Lx+40qESktnOoyZVjOgJ1IatDeeC2n9MaN6B/S
3n/zUT4UHUAafKDOp/31WHZeZgSynsodvVk+0yz9BM79mVhrOLzf/nSiPf3K/f658+D8pf+UBp53
ik9yfNvwOAf+7VfDnTwRUxhggGl9sAZNMDeMcrNliuj7D8fP4Jz/t88iu277HplYykfzXv8peQyl
KLclEAoiQrW57Cz96lf1qvTd44CBH/6Q3i2kvzdqUj10wNl4nfdgRdWaO+8/hM9/Ywzc99o1zYD5
pzX3lvzt+Hpd7msq6MtdgF9KT0Om0OOFyunV0MbrUA4XYJk/wyT6pyPwd7+rS7WOqaNJOpimkX85
AhoituUZ851dS/dCV3sT7hnJ6kulhksNA3JRRCdRTFfhV7Rp0pJbbRPBH0m/UBC1CMe7r8JNX//z
OXA/8L+fBDPIxQrIg7vkwv/6tdxatiaEiXKnbBqGRZmDys+nKauHr+mrH61+bmskMyXCbIkzealk
9jzOOa+y7V58Z4RMTT8O7Mz/+Yv97c9Ec06GJ0/XGV7++r3IH9LdQebkI9uqJuJiylm0WY0jON/e
5opAffRM9VGa6Fv/+aON3zLcv06RP332b3gCn97knYYNdzc41mOvC5CuUTp3+AD7V9NRRg84FGLY
9a77LUneijpU/3C2/O3J8qdv8Nuv0qd5LLuCbzBRE1yY3nClv90NTnq2FAwJ/3l/mRr9+9EOfHab
89LDcgx+469HW4bErXJZ5oDryo1XeUdXpp+AE+jronfGxq5ySgTMB5O3VoXgjPG1LjO/vzg10BO0
drKS45H64OeYjccg5NyxYO8NfbApG/1aEjFAan+I9PZiW+1Fis3gyPeBAY5Z4801GgshbLhO2SYo
5An9qYXDtpwk7zP//5ZiFdzVJRFnKNzWC2moJVRYJjH+6e7kdTlB05T/5CgMAFb7UEwYQD3H4Fxx
ljIkrzdfUMiNF9t293OTm9iId5mR5BicuiW/aHH2AA5jZqJRTDXe+mZ4SiosURHmQDnssU1jyAJI
PqXFk/JoXKDHsO6hVFoLN4bsWUU78NQblopXVek7u/mRtuKWefoRIc+ilrVJ7FQtUCrWZiA+cyf7
lKb4nM8nM+AUNnAYLpIC0bz57s9D8XxkACOby9gEdtfTMGowv2semhVUtk83JlHteeemoTdDz34Z
g7vrh+41g0DjOM0Kl+f1PngodzjGtUL+r4kjD2N+M/hMu+YAmYx4fYBHFx3hwjqWH5uWQxo751Mf
NYVatB141RDbD022AqodBkpjTrZ3IWmKNuby0IYMYPPhR0L8BD25NqX26qiIIynzT6afm6COP4na
n4Em0HVsJCQkYv0IQv079ZOFPbCrGhFPDK/6tUu6BxH8HPzSWjh+f2W9f6VFFy19SAyIMjhU1OaA
gvaw6vkmoT89D5bPCTtdA7+7BAGrwpwgDDVDjETQJJ6Z3HJ3KaNb4HAICloTFsTYu+FowyKcPwII
yCXu5xMtaQGX6ddkrL7S04RuH9nNQqpz5iPF5Idgh/vgpfoVWWGl2donRoybIfJbB89zYQ1X+uuA
80FDlNGzJU3wgrVxmWPcNpztVYXBhd5B7fNMN10EVpMvR8BmaMphviZNi0osgTnER9vNqlXI9GLi
Gy2LWG2qMtGWTSUAndOgirvjI87Ln0D6e0iI/Fg1CKNtlT7In7mxNp4cyOT0siVQbjSn+7f3UvZv
MLrLfN8ViG6L5GaWGMSq6tbnXCOjfQqUly0HwFBLmyVoFuvX+VQmvcKlrCNptMDjpjDfCYPfJmFm
sbUr/Pxhd7VqwNENILV9KsY3g7zcyR74bm0Wt2yQMNJPN6wJdurhwPlhmVQLxeP9dKyc6BN8OwWg
nPOAvPQXy4yePVWYSzAS6eI+lPhJ9tm7wzUgUG5KvMTAaJv+asXcpwyNsbgKK0Be07iJJABXN4hv
qptz2Knk4gxSkFMvzcSc8D5sdfOtPiam0A+cQnQNAciQuQuhxqsx/1BLGenfKRN2ifesTwPOXK+9
LNs0/vRkicynM/SB9F97Zfrm1elNA0dSJeorHutu5BroOF2MKL35WonRSB+2Lq2EFvR0IVSNiXeB
t46i7/wfgnYbVdAF6TJ69ecxU2l8rYEOnAvL4qMMPiXkPrSqNeuh8St8L+OcWsTnt5BkwAgY2zi+
hyOZRG2VBuFZbzk2ATZZ4h87J+jWQ+2ZOCeSYdNnjNtaECUbjHpn32kRIwbzSrsmri5XlrwR3mXV
gjYtudKHOs6XtcGyvVRIbImixwtdFVbheXIi58SylSKe72PvprWutHGQmw1teOL+gNy59xCnV4BV
uU1K0MH0+Ek2rq69cm0lW+FqmxHsFxJ2c65GDfRmDPsSIPlL3OF+0oYyWGeleINBhh+QgjZtsjhw
GYthoXFdZTHHyu3Hq571/up+Qt4nL24rPufbgZ5nnwhFO03n0DDEKQrYi1HpP6pQfyG0uux047kP
g+PYig00cUiPJL6Wv36iUb23sPExsB7uJ39L0nXl0xWZajZNn7gJiOJmGMBXjYzOx80ICYRWOUuH
0zoeOrmWY/uzJVW6dqT7UtG7Zd+HYk8b5wJT3UQjNZJiFKkgmFpR/Va1HBHsBRu/yk8q0IgsVMY3
t20wE0+0XTMwZa6oKVZLV1TmCkybhdVD2+L0TfgBifA4prb2PdqgJOUEJBOC8qK2KEv1XD6OxnVo
0wKZxAquJzHRT0mWNKOgUDkZ0HD1ZoRb4FOJK0j2FLhxkSTp8eDFSy5k+ry48lyUNELyO6bt/viz
IuFmtoxbI/dMeuX8pDEyEM2Kg9QBey4z1KzWH0pgBHxYx2BeCYCPfgL+Ia0g/8+/ncy4hugD8FnY
16ZuHwfMciuV1x7JY/MGJ8hfpTo8526qVmZNw80442eHyXXjDx9Mu4HE5vU724403EfMiWxz+B4I
h0VSQMRj1MD7ppZaltlECIX60sIh9LiIe2uFjKrR44i5bIgBeNn+HPR8WPbUEAt2StjyQiveKyKk
QpVvX2iT9WzOY7njPky6g6Wn4RKNeuuLVyjY8/MQ5NAEGVsgZsYSZCryZsK9rWxAU3j+z2zgsiV2
+AZPQV8RzXMWFsiIpUwCsg49j/hV6ADkD6eK5cHGLvMDC030Nzsyl7Re2RA7PEW+6axwILwqt0zQ
tMm40q+5XuOlnVbT6MrdFJ0ajxixFjAxaLmWV0U1OKe2oGZVvJjK716KigbYpmzO5uR/H/P+2fD8
/puIfICpoLKj0f0a/Td755EdN7Kt66ncCeAseNNNT2bSi0bsYFGGQMB7N/r7RVAlSlSdqvf6tyEs
+BQzgYhtfkOx19u1nTZ+SkpEEwerOpB8i00yiie/HfQjvUPcJ3znmIos3FtlcjRRB6jDSlxENRaI
gSuqdWdGWCFnMSYecflVBDN8ojpJ98jX6MJ4kK6w7gzPGJglABcb8AOMlWmpz+YaYH2ArAGQxRr2
+SJW3VSIfZuDaa4bTd+4ogaWBU+lTN2zJrYu9Na8K0ZXX3nPKie3eezHIt12PT5YbWjgioheSWad
CgGIvXHMa2dqaCaUaPu7gMwdzT9UUIJhBBTbGMAg/T3/wRBzedal1aYGE72O8v5aNwZOBkWZm20E
YKI+1nZP98LFbwixm2ELQZ6mc91900b3ssdGcj2Z3U5YIthPVX50ArvmpUhvg4ynKH/wR6ytKxky
0J0getVbrCBC6qhx6W7hIPkbgzDP8b52E9OH3o8GjKe0X2PU2ljGKfTsYo1zcbmGrqz7xFvDBLxQ
w2x5jhjJtSgl0IpITIAx8Oq7vP8zOpVDDnJzKvEstPjAoHaC1VIBphApU8AAvpf2tF+sE4/nct46
QYNjAOrZe2/GN0bH3yxq8DoGgY50muvQwkl09CenZjd6c32Kjfa8nKOeGWna9XM77P2guUpHmIEO
Oq3Ql+2N0aWIbnsz1pfD8LkVvGk4H+J7NWDzYvnZpvBFug9wF4Z8qG9QtWwO45BsWz1dU5TGBxsh
yP3YOwdczsN1wwyD2ks4b9wKmzHaTDSkifwMLfwytHg54VzHACE/3e26PUAjsXXc+NVqvHPewWyv
ZrrCKkkybZzf3BbxbfT9zpYGl72IOgHDWbCH2XGL8Ji5X/L4XPiRdegDC8KZ5u8nLUIVyIwvArcH
2RfdZ2Gd7+ah/ZLVeJbMQIs2uZk+l1kHmDN7ql2Allio0U+hgVl3IC5t3BH9zv0Ec0rsyN7cXSiG
C3du75EvR9gkH2r4eXG58dB+0U1ig6X3D/4UESDC9oU5C7vE4CFYZEjpG+awH/rg6JA+rPzAeChM
sJj+TJiuESY7wmL8rrIXOWG+VZcA/kflOhXEP0nJ48O7biMj+Dg45jnsI+h1MihIvWVYGYt2LLVa
KsMTZ7nSCcpHsX1MGQSRZdqrsDWNpcUBSGujfcw6UNwh2UwyIJbZ5OP1FLgoKXvBHisF/qeSlIXP
T0qMt1bfyYLIQVmU14xJj6UfXapQt5Muo77ZTVgaJw+mT/AGG/wW9fnS/A6WihdJr1+Cai8j5TI0
HwpEZmzwGmsXot4eVTagCtpnh7GDQRDkXxjhzGs5B/kvMPmj6au/LrD7CeITYJ9ZeIWqCJqk+M6S
t5X+JofuaxK5NQWBRu6kG0Oq6KMe7zfNKfa3NonprhIN+lWQEKWQ6GIRXWCcw7CBlTocKV7cFldV
o8YCnJ8xkclWL2stvfwWYh//ql5492GbfFlK/cFJwMJjf/li2nz/44Izek6eprlBcl7ziyGyLjvq
+B2YBV9umV17w3S5eM5d7ruXAZXDygYJisv2gEVMGcpXzFkeaNpb+EHj+4SuEoS4+s6Racg4pbAL
aBSgd57tDL9dNnTGjyCuEAWy811Uo3IRiuLzbKNpRH7pOfgHQxGUI2/kk5pa8pvVpF/gW0jVFbiC
Ms4hO71Ci2FGoClcBwsTqkxLgY49m91Bg2TRCtt4e0KjHrO6JliOqFiDzw4xPMj5reV/u/fdaiVZ
/oNBtjDo2cG09Cs8S8qNC4xg7YoZHLjr3YksOKQVM7WRD7dWHowYLRk4jI631jgfgSkcnN7jiyey
J0Hb5UK8akEwbQEk3aY1cU+eRedIAF+4ZU9m2g5QFc0H9Rv0Ig+3VrEc4l7+H+S4WpQyt5D5sR7P
j7Y7v/Tob9FUFMiQYeK58iwwHSpLtrIFzI52qTuEWq5OsXrhPTSGjIdL/ifMttwEMrVFUPRCBlN8
TwTiMlnFZ+PYO/deEsCxL2d8o82TW/NOtM58U2vFyfPmY4bdCQJxO4Qvz7WZK9OCM+StZf3DiYYv
Y3lvu8266mcwQzwjhRVfB5T0LNM9lL3/XA2OWFXGdDIWgt3ZEy+AG2v8UAjJwkdVflP/eUPOORXK
Uhszp1CRMEkZwnztXNpoNGN5CMCaDQH9tAB2bmAhINbywKfCvQxzaikGbKHcuJkM4VKCmS6shBlT
czDAArKfl/dywIDJ8QS2FVFBRr7JwCncanhI+Xq0mkTHz9oTgQZBMLkewM6VVd+pajJibxZT/bPm
uxTPTNJLeCWwjd1Ls4sAihbfkQ2kjkJSP5SE7DTRiC7L4GQDnehcEAxdCCCShi+evahId2TCPMFc
EVlimyMbiOaZemsXWR2r9exb1XUOZGDSCN+qJexYvmg7fzovAFrjII+EqHwZHwsxfGvqAUhiv5O/
arz0CLI4L8havSTG16SAQ99KIamsYJhBsMcyL/CsmPHt4c+WJYih5e2JpunW8T6lffy1xm6zoKrS
uGbErH4W9gwZi/xOhvBmWpAx4s90NVlTZlCsOuTIfIqZnsZvLwuXPfRsvAPkRHJv8nbULoWK0Qbv
N+XMXKo3YNEyRFIKlGsYAr7TjOWh1tpXzPlu66DcLSMKP7FEUxOor6JYQuNLDbOY9DUx5miFZNR5
olP0Goqn2U2kjyh5hyz4oETxCtYRpjNAo3Xcame0evboDTx48tFWC9HI4hT2IUja1bpoYd/GBzdz
L6eJRxBxMD5X9Ft3nK49HGG3qrAQf8oAsEAV9ltsY3jwQDvKMlLernGbXqG+RjsY/0Qigb43DCIz
6uwpVY88a94qHlhuv+CzAyXG3A3UTlxH5tY8leaU71vN3QuUEdeTKp+B4gswzEBA52KEG4DYJBk/
X05i8mfyJwIO/0LxcFs34xZOKjaUBoFfbuRPWOhcqPehCxH8kcpRpSChmlHFdnP3m4P4Cugo/O3I
A3fRtIkc/9FyzQPMPR5x9fq13icrxIFFpdqhgIBqZTC9E6QpydlQPMvWJg+0TO+Z74c6enUjBm4n
W7b9SFrk+ulZM/a32Tjt58q04CnI+IDG8jrGv66SEbVDFVZlWpEslWXAzuYCln7X5f7Gl/MjDRea
5rzXucasKyi6Fc5p1EiPkpjRwMVpcl2gaTRUEcWpmB/EyXgk68VkIKVyl8d4T4jqQHqqIYw7llQG
UbhG6GHdIN21qmdx17p1sE8Q/YoLIGKZtjFIkHWrvIldoskCHNUqbHEy5t41wyvcFXQF2hVsT/Sz
neybokGo3LNY3K1IACRmLV8REPX7pptPYzIyS4W9howbFiw0XF88IydiuIwsHB6n/FVVaTAC9ZF9
FJu6con9dd9HZA6p8JipraA0qSY7QkW0K+D/CIfUOHDMYIvFH6ZZ3jc0xzGVliW5PLR5aBL/OwRk
bpmDvazgCatKdlVRjW4svrs0QEEvI0ZGN+26THJ46wwls8x7q4AeUmwUj/bkvvYTsBQfU+CSKgKo
0tekus5nppAEcQ3y5KcWl6BKI/UOAfJu5sxhQGV6k8yRFUneUeXMhcVTrea21CWM7uBH1Vj9rmSx
epGlKdPhxVTQ8ai8osqwck3yABcL1QY5Ra0lIEEuhzmrz1+aATereRejBHuh3uVWM8lRq+VKRXPq
DyX0mjeVYzM2k+RRmc0D+aNbHTe1tf0QmeImMurb1scLmAbjPqsvjFn/HAIxRu0N790oe/YEOiVW
jHbZkBhvNQHXlvDA+qwsIvCPPPVTelun4FVRJOStrIt9W8yftZBYBdTG5RLc4C6FCnMcdkcrIw/t
XLM47y9a5lIpImwiMJxDbE8wiJnOdB8JlbCZv4WW94jWV7UjPd87UhAOyTGk94L8qaoxiq+A1zT8
WT6PllNku7wY1nH9tcoweo2dq3AowdxXn5cIaPLskeuGXXuS5PWzIvU0LGqSYePM2XHEg/1i0of+
DlTffZ4OsO6d6ZBm1Os0RH+gt1QBfH+P8t1a6BqSsXOF53WpNQ/tsgMWew4Zxd+Ui1WfDCtLrsIS
Zim1h35CeE8fapRdkWPQMkw6U3Pwd27vW9sq6p11XWcYvxqEDUk/XbXC0k9mUaziIV52qOpTVArR
vYqS8VPT40EKUWiNTlpBevRSjJYNWPbesdOdk7crr600JPRRGDGiKDksFWKmaP+AoUzt/Qhn7GQA
dN7bTnFdjH6EjI6j37o1wEelB5C3LlomcuEsCOwlA8hTc4LnIhchakLn/eeygEDOs+D+WDiSQwUI
VNpKaRQ6CsvbDXN1k9USyCYXLq5h5w5vzhhF5ZsggQN0OBMu3lwDKDz8TzaxAROiiakXuzEjjVFL
dKzOaBemWBi5eG/v2iz72uqaed7nOmhbGgpZIoxtHsMsKkcjP1cLkYafg2YOtqZVg1D1418Xal9S
EXmAU/4igBjNqNme8W3a510+2pKA9WPxvmnFeGFHOKyIsi6Ott1D5goqKqnSUeV9UY2InmCnk2yH
GkNU/MRxr09wnSvDagupvT9YWgrdKq5H0Jceo4AlTmh+3eUSFzkG8OmtadrqsfhFCqKPkYhoWvle
UfDfvstDJCEflKVUNED/GedqQbnffFvr09QCTimPeKOsTeqmzdsq6usA0T1mAf22Bf10W4KR36UF
pcE4dPFALbxTaop7y23qk911DYmjyA9aBpCXX+lW+pjmk17d6W5z4vB06Ro9pNc0SxDZGnCjE4VY
YwhRrH00SW4caXAoYr3aukkstkFQFJvOcNqdTUTAoDMHrfTz7Hig5CaF9vp65DPU1jQ6xpYKv7YZ
QY/iaMd/JxpnVEesvLqdbdujNE6dQu2DO0740bvXtnY1pXp5s9SXFMXmnbeIz7YOH1hAdy1WLtIA
8UB1f7FT3H2l5Ebba4Bl1apTxN/w5jC3aNNZpABIl6i1Qf4Kv+zT3RaQsP3kjwvaAGOICrTpfdZ0
r9tNAUpLCDvDx3GQ68TJQdk5qLVpiO8onCFfKfVg4PFM5wjSvyY02rcpbcNztUst9BRmhVqrGjxP
vazKtgx6yB/QZzCpSZ478TP/wZt04Ck3S9yMHUxZ55ugCwe6TSx8CLtMR8jLQri8m819OTZ3DjB5
1Knng29bW1O+xZ58O7s5gLxlJycELCIev3DrawVOQ9NwcmaDPWYEew1S7rabLj2pWONYlMOtBnEU
wVCziWsZnzbbuTOicxiaqIyIRqN0h3QwIFHjzBY3uRQnGVIXj6lcqo8gzI3SUljuBbS7vWXXyJZG
aYiUCdDElU5OCajbvIyB9tJKNA9ht6u81Mczpj1yrktANwRoJXErF4GbHZDMqz6Br5JmBpLMy1RS
BYdxBRj/a13z2fPe7nX+CzaqIlhk94xrKTGGWkV+ZFi1fpTg1ovlcwH/FQq8bp+rNbVASPjHpnCQ
2siR7IyMHnnoat5nRY22iGvzIWP8Y03tc6L7MQqXM6rHAfPcRHk8FvgqwPeHCBf63dbU0L9qjfZ5
NvhaUbk85vNwXcXiKYtrDE2nBvc/MPZG1N0jF80vj4rfPOvblIeZwsMYnULhn5u9Na1dNFhPVQCC
OXKjM5uUp4A4vxGV/iX07X3iHWHpHeJyAsdcPSxOJ+k34Rpo/mEkLiXzNZNz0PcCvo917yQj/TmB
ii8uUyiEUsNoNY26h/2MAiZ1gqH9ho7FRddkPSxds9q+WpWGWwGGwePoowY3m+4WXZLDaKQb3/Wq
TZnCQA+89ilx8i+t638hMVk5htdS54++THX4AnNsDe8GKWts2UuYLVRNd5EWn8k/QDfHPXGZzysx
xegHpcR6yUxw26NkTpTsferiETo6srkDZC0G5AYwehzWiJmgYZ7FjHYNpoiZ9blZuEmzxK8+yt6r
sRdrEVNqNJwcyGpU0tPwP5lBhG5298UqoM/VNyJ1oblFRHBoMplrPDyeULg7Ldb5UsM90036vS7W
F85SkMzOnYkwpXhiFLqAVdwANKc95dXV3uz7a7Ou0H6a+vmA3D3EcM3eWkMI5VQwwS2wm+nF4RF0
gzT2uCWabU6LSwWcVtRrYg7gqWWVx9b6TVHqeHfEr7FMBLLk0+ChWwUgkYg6U/26MAAzDykxD5sb
Qx/Oeo/0SVX0kiB6laWgSSVUOhUWP8co1ETeaECEInHGhwbB4ZUD0T0BbqF38OMsa+2Q6JgaeYuN
WAU6Zc11CjHVctMXEeh3FsEitUNyZj9HLckr0FejLiCZKGuJ5+spC2UiezFrX1sdbJip/4y3sSXE
7DfMVaCTFQBrCugKIs36AV/ULsjL9y3lK6t0DkgiWBRc0OE3UMWZ6JF4VQ5Ql+EKyUhphEp9Qpaa
AhpqPQopQZw425aomwKFFOaTmYH6KiPKjLaPRx/GSybpLCGPLAu3l1Pi0mV2SC77kHy7wt52mF9d
hAvpCRIT6t5BlE61Gqn2lIlr7Noauz7zZXLwp9ZGWTrIkOyfZ4rEiRRFg9w8/It1hiEBXX98KWBI
Dc+GE26qL+0XhKAXmdHsUxI5NLnx0AMnalJSVvlfEpN/YXjHZYTq2mymqfc3//yDmH/z2YYOKNC2
sdcBFCt9U3757NYenJxSf3aoZMc7D6kY8UFG/OBQZsBl57I051sXtMg8GQ++Z54F44iMknilLXqL
PsVMKo7BKbiWGeZGkwVnk03J55//l+4foLBAN3TPCXxfDyws0z5A4ooG42cbrZGD5fO/jDsSRL9t
xxXDMMnkLMtrhZGuK7cPVlEArgrIWD2mrxLMAbeHP6ygO9Jn/q4kIwZr8GLJXM7PQH96ZfGSNPlL
RqmQZ2IHVRXAWxI/l60guIXZRCof6TJvl+XADnXe+glZXOSXIpJChdMgTXilEexuYEJj2kQib8LB
3ydMuBGc9lT+L30rRiodbz/m4uwCv8vDOCP5nzvD7ZzH30UxXn0O3OxWJmzUeV7cZrzFF2ZY29Oj
KYuMwq3PcDGQII9yofXYWPNdNsWHf/6uDesPcCxftmOY2Nt7nu7+AVitJlFqPqWPg3BTZ41Y9xaM
KtmvxJtgxWQB3JGoqLw6o0YzwDqe802SuealMdg7d9JLpgMqyr4niIyzqpV0wvHQ4uqayZl7Hqnn
LHnmoeeGeg4F7+HWDmkAV0Z5WtogR+55ec0XbWBw69AfquedKjajPEhYg5BLHr9ELUZvlUG9WvDT
yYZiISiSJSNjf0OOooNRWVk5UZdJQdRKzAP87GVNmQH7WWpuTKHbpLseYxpT0IPxdiizJ28hI6an
/ZKb0FrF0q+rmZEHGs8z7txEhfJ4nLFQ/dZe+w4hptpRc9CMroLA231FCU6W6/McrXo+IhsFCsDF
S4+y2jq3dLzUO1peer4togHpAsuTrRE833EjuSfQo15FxcemNJeazUmjyAWGgb/aCbpbVWuH6Hlp
Y6cdV9p3vFYzapcRhhqh89kYCPdC/C66JCXB0sGVtVELkAW79qId91puuniz1dWOdgks2AQlghfT
SubzEdjUOsVQwuEgHYLzqBy/2GPcEJztQhtRnco7Q9YW81zBPAF/5mA12nOU857L/2p9FpXxdw3V
JKiWw9XsQo4xenTdh356sEIHsEaNJODYNedZ2d7/y+P6NzOK4eAJqMMEcALH/zCART0YE1tr04Ml
/2Q5G3jsI4YLvmkwWb2EpDWmukTzeRWWsnknG2alRNLZEsNQd9m/4Hf/RHwHVsAk4fAeIa1iKlOz
X8bUbnZHF4Eqccic6HOVJ9eEz2ey9J3hOq7Bow8l4qwchwcJvcr97CXU60fLd/7lu/mbwd3CjIlv
x/JsIJEfoee96JF8LkoBbx1ZqqnnrepXetJWa5At0m7W/NqQqg2L89Vt6L9EQM5bWd9wJX4MPAVe
uUuxyUP/k96LT+i3zFsqYSEaWNO/IHGDP2Dyga0z5oCQDwzDsj/icAmwbdrgY3yY0iTcaHTRQVZs
9KFN1n5oymY2af2Sudj68bMdC/0YmwgCelh8bE0upEB9mlMxbnvh51vwE/C3ZDVK4AiLhAyKpvFs
wTsGmFf2wcOqpSUJ8TwneSxKbVVBuT4b0+k+n5Nyoy+gYk2lLpSiCaw5AYqNe2Hqt2Zzp6VZs1U1
8QjHIWKN5WCm1oZKX7AdRgpr2WOFpNchq4t+W/UClZFyWHcgK+/d3Ny5eXDpQl28wK0ZqSv6Fpo1
biK7cs8TRLzWVl0h0GbgOSIC7bGp2mwjgO/yBOtPcwZYV7MOsuaooKIFNTU/0D5B3XvVmSNiM74e
XAZkrKrvghhsVGTl8ya3tDOUkq+LPnp1Sr3fu9YhTLLmULY+Be1ySna1i5aeu+CQE1TVbTYXJKcp
o1U+d9OhEeJ7N4ryLfr4P2rUGzXqa9kXHS2a7xHVqt8ITjLE++/EqPtCdN+//c9d99J9b/+47i9a
lPufwNPhLgR2APXJYxZ/M6M1PPM/sDe9wPWorZuBC+L9ByvKM/5jObZnwRsCCcEVPyhRhv+fwDId
A+M20yMONL3/HyNawvjfAlqUFbg7mug0rDxM1PyPA2BmJA3TRep8r63yQumTTHVmbqp4CfbGgEv9
iPHDJl+aYK+O6r5mvB01CdzfjmYZpuT/9Vp1K3Xy311rBC+COWkT4RJxVAs/y5iD3rehHdZHTy4+
7EuQxvrrRK09uQVPf2QvDe3WvxZZFfy6KewcWEh6COrAIj3N8hOUowjlHzbrudC34xh7e9Ot7UfT
676lRTdeRdOCvUq8Lb0m2aXLOD87VQ1h3UCNJJp2TpB0xLm6t9ibLFxCJJTq8KjWQKOExyKM3Gb1
vp2GVMMGUuUU3ubW9sIZJTkriTYUwdBKyAzkKAzoa0e1Hbv9FXoR+pcqFclhTuzilCxxecrkIg4n
D9InpaEPB9SmWrgCH8m0SrWWgIBV+ETRiM6IvBEStRo6okhyg2AZqJouPk5vzYA5ZOhfxnJtQbuB
oA+X8crYl63VPgR6rV13eJQhkgUFeqqG8hIBtvIypCh7GXr1jLgavpBdN0Y9nl45xhQVGj97q+su
Kb0sl1Gl2XdGKVDfHhCua6T/LPZf40VUtfd1jhGbHusE2mmatOcAVDzXaW97Petu+TuwBBH4xKl9
aiHfFdnvjM7Upov/1+0/XaRulDkDYRF87HGyyEYd0c9HJa/7vlD7KigtvxxQ+wa7uv/xm/vW5ZwM
BxvZfdBuIr7DItFBXdzFgpJg624ifFkNcDQ2iTl2YN87yKuGibywNw4H36hxFiXp3Rb+Ut6aE2oY
jpbGj2lGrj9OwXCsClRCS/CH62Rskwe1lv1caykqv+17X4N8aR6SLKZclDVibXiFs0cqiOKy2h4x
W9tHeRAdBmNGW2aJweC1Y3znTWmBguqAtMKk+7cYlNEN0vLkWzyN266O8+cunPGBsnHOcKhsnED7
0DHpQBLheuGs8iqkK2XpaMXx0Je7CjG0y3jGK0L3mvJylovaG2UpF4i9OtAgF2bw3nBEizvU4+vq
q9dPCHRlz2ZCMZ++Ya2dy01mTnRqAZNrIJzLZ15P/qCfm7QamhuULg1ryY/U4gDyUpQ2jkmBHfGm
S8tua40ULdTOt+NJC3q5yuODlztiW8Ya3hzoLdAi1b5qXT5doFduXeaI/PiJly0PKLUiSFCLCAyZ
H3U0C5yKMoOTztcBPa23RWFvuEL8uidCjq+scaWghTpfT9m0nmyTKqcXiRsqtubKRB39qxijw0TP
6tFpm0uvqPepHEfUglEvPNIr+7GZq8HkfZsf8Cpc8LTwGrxX6NLnFzFR4obpZnmKcI9wW9P9RqH0
zl4c8Zj7wbjVnTA5lUuTXwh4Vm+nDsWCM2RePv4yFV6/lUV+pW4SDH6YXSRfE39R1w4g7THRyNnn
l/CaxrToYzf2v6euyM5EkCYoUUrVZ61CBLpDozmj0crqx+2Pp/6y/cfqx2sJhFPULSZ7i6Kkft/X
0S1WgtMVAKPkvsR5MIfWAnQm3GbyZ1YLw8UkKdTy9FTg9KV25UqRUa368ooJv56tOu/9sp9XvO93
zAVNOHXFv39GXTQXdTEWd7MPoKMdyvFGmMD0QhdBD4ey/0uUDufRZEUPOTi5M9sPAbg1fvUyHIFk
pi9tjmRoh8kKWJO0faDrf5YnZPxLdzdFS3GtuZ1zm8f9RTR7/dPsOPFhcV2banLXPxUDHbS8aeOr
3GmjQxPhNGM0kBho/MXPlFHndU7nCNYPIg15Wl97cn/rT7j15Ut4hjV98bgQB6v9fZB4+I0m5j7M
0/jZ6K5GhEue8AfUDkPf2Fu1Oxrssy6pxH2ECPyxs7E+DkdUtiwzeYtY/yv5GrG6j0+f51mMeDDK
SfKMP6jDS2L5ravjCJoYqYUKHFNXoqfLs60v7hqHRmKGKrRu+8VnKi/RlcgCFy4dre2lna3bONIe
Z15YlHsoKM64IZwaS09PedX8WFP7ND+/RmQmOnzYr86dendq6Y5y7fvhxK2vkY3kG/+b26l9epvs
sYpEHRpFzqnvx5PeoYeZNjRx8nKJnjo3ufLky+2EznXt2vqjOtWM7R+nDgsKez9PLb3M+4bqs/Qr
Nh7dcC63BmK2mwblD5Q+QbcvVXGN5eIZr+RuxPQIv1bW9MxO0VHs4x9rvx/9eJ42id0E4ezt2vej
qCIZ52bT27QzA/2kzcuvi6AyzhJapWcf9r+fm4aVflKbrlOeuikPDyKdZ/qkf3M7tc/BEMEcM5AH
8lJ1Y7X/42V5oN9qqTlupjLdhUs2f2LyRB/FN5ond8ZHVHSwD+jDXSxpBEMjgRwphNZThAJp3oE8
B/SVSxHd4t5IpuRKyez+3FqkBi9FzXtzyJMrpbkrj6ktk5nq/ueZ/0/XYbD6y13ePy/iE9TW75+g
tuSx3z9dnQnIwztLaf7DCRHxha8YZg4gidyzowu1T629L7Dl5UCUgSwwph/n/d3JsVS0++d5xPtd
R8Emd7IsXOUDy8WtWiY9v08jU0w3h0qC9k0k+l23NP6N7yXJRZuGw1q90YQEX3sERW4IfQRihn/t
99nf/tw/LGJcl7U5yxDi6+SJ4Jfz1X7EJb9m4Ytogtugy6jA8HJDY/j5mL2tyX360tbbRLigmeJW
50T5UKvDaqGeNrWmTmR2JEdHHbdfqZ1vN/eNsFgj6KtvtJKguM7SCjvcoADzQFCclxQhYx1ei9rE
WTC76eBRqC2sap07YPx4Ek95eRTO89IhHBXOzjGru/ZqNOEgdCLNv9YOyl6hOz3nhMkgff86w3W+
hc55O/jumWcBC+wMlyDrfbuy/iUaUNoBZTZHZSGVQtSvKJNd03R0M/Ctj78iYN7SYwzyv2HkQ2+T
fiXqbyoxLGlR96b2SW2k6WEELfSpEm55h0/VkHtHkObRhUuZHcD6X5tVCMWYyDh8OxoIr7mhybHR
mW+cpTZPOO1Fh7bSMVaWa5bcp9bUvvejJYyW/ft5am0UkJWLBZ0cLyAHgbq16+oGlfkl+rFQByhP
TSSFf+1TpyxMsmt1oELc3lk18jpEmH7cRp2tTgzSOfi37sufb4pHcmj7ZmA7Po3aDxT5CD8UCIWx
9c0pAIC0Qhin/ufCbQVPqtruOpvosIq2Vifa8/dddcEPk4nB2i4CtBtFM/sybbNVYsXthT33AODk
Qu0XiZ1tAyCY6w8H1NEpAHnZmGLb9YHWnZVU+bJLvRwwyjHzJ1A9xplTOu1VK8XjaTG2CLHmTyXA
9MPbuSn+2lf0No6DPZj3i1kG154njs1YWfcWUMRreawG2fV+rJVbtj1+KnkutyXa62dwcZKjWkvG
+ccatd0fa+9H39ei0UuOqdk2+38exQzr99aYfAF8VG5s16E1RjnI/tAai70YAfRZb76lXbG0Ni3U
YNfEM5qqfn1dYY0NV4ytt10ebpQr1MbmDX6GwTp72/55HENU2gFeczYXPuLNeewM+zkof7mNOqDu
JVzT3kCGArNSNbhDl4tkmBS3ZdUgQUqBZIb6vmoi63oyi/p5DKGjZF2h3+loUaMzqIUXdaUnCKcV
9ZnvwmdLmTS3xpg0d1ZeJECJ4+hZ3jFOPXD0UKvDKL2li9bQQYE31gHV+mrr+r6exvlJDJATUIrD
RCxzQ6BGnJE17ohmGSIWnXpc5eM5ATM5eeqZHWtg0o4VZTulhquOvJ9YmtCPrWgo1gD52ptgKt8U
sGiKx3fm2JsbEfhgA6Uq1s8zwIlDjZnC21rmj84CXNcMQ7Fp5abaJ+h77UCOI9alMs7o53ZBpnaj
TlT7tCBB189I2ht14P1ewCgZogrThmGkded2HW/rzi8u+2giH5ZrnpmXl5VTOEegetsP+9UZ6qC8
Up36fpEjr2zklT9vq85Q+9Vpppjebqt2fbj899u2Qfkvc7b/x8NOLwMJIseXQlAmEILf5+zOFXoy
p0X4VcrQGobnlqt+qcnQddJ0lKfzo9qsndBYOU2ygPkkEVypwx9OBAPtQfWTV9fqpEneQ535frq6
pdpUt/Qr5wqfzHwnaNxcChuH9VUXojdZHdWeZbTmy1Tt9qok3EWjDiiFSd1cvR+naouptZel+wWu
5eXb4R93MagirZomd7ZltK0av++omPTNycDKAP1NuaoWrZaFxzzaqg0dF6bTLye/nzbLI7HuB0fs
+URVcTu162017CHHd54V7sI2K5GCL+ZdRcy+8qi9Xah9auFQWUCcUZ7jj96p0vEdcWNaSm/73k+M
g+7HHdS+oHL+DT9iSAWxX7ASDHd01WzSL/J/Rqg/kABRsCROUHXal7SF6UrtAmBU49ewWvsJl3Rm
lve5xB+C6dJ/VjsEErB0ruU8g71ovUmX5cf5ap+6cgGXdjl8ZSSRd32/1+/3f/tQkXivHg9BOuXt
TS4Xg3cb63Z9/RYzyMCBFPx9T+Tn6XWVnGwpdMDvcpN2mXMXaNgztXZp76MwcO5A5ydHtzZhC8mj
kzE5d/ICG1HGtwuouHIBeNysbYu9im3QKu43vDPlQW1GEGw2ZmaUSJJRTI/Dv46qyvv7UVVbV0d1
efKHayEYFPdlPuZnC72+cDbzaxweireFFg3flio1ztQudRD55eEsMZvX3GiLa4xyl82EEBV/SV4W
PfZz2PTJyDGBmbqGxexc1UiuHPFfA4DbhigaY/rXhLH1tCzhJorqch9OPSScqonvhtqK7zAN3aLL
q12pXRP2OQSyVbwZnYQ5rh/NbdD1+EppAmUAowzQ8gv8K3SnsA1womhFNSU7+1/Kzmu5baRr11eE
KuRwyhxFiRKVTlAjW0bOGVf/P2j6M23N7JnaJyisDrAskY3utd5w6+gjRz8W0jgXw27t4iFNTV3t
1kGucJwhxchmYyqx79sS50copmeEv7N7WTK/1YPVvw5thi+NYgxrM8+HV7fJTiDJu3Pk/xdIw/pT
tUi3yIrJui7rwO8o22jmlxwYRW+7hCnef/QlmX55lvbYVJh6bxzZpz1kBs5ic6vWf2it7+zHUG4f
SdtWmwhRXXTYCcWlzZ/MdCzOIlADPje6ZbkrEcKtwEk8NB5E1Lhp+9gGLrJsRYMFrJTfkVvVr3mu
YUC1seukvchhXXNVMWryKx8ZzfltnCayWE7jApc10OMF7ckmLIGmvI7yGHfraaeF6/PvoTM4yaK2
8hVlL+OoxdmjSO6LSx4l915b5ncicvkTYDVmmdBvp2pAWJq38RkwSkSJa32nh722EHeJ2dtPxVAe
uilPI9r1IdJ3IHTtp9rOv7ZrUIbWQwjJtVNkz/2vnZwxIRV+P8qAtEGHDEkZBKk0nfzmny83u0Ae
c6jM7KMaEPdIXbfc1klzF/ZDhGJ06vdHL0PARNzheVZtqdnfcZ7DKEgMnsIENMQA5/Acy7F1dGBU
bXLH8XfoGiRHEDDm0kqT/pE3C4asQZD8ZSXAk5q8YoM1GdC3kfrdwloBwSfQneQEjyTxUzJc9kBd
iR1JMYLvm0E2g6UAJAb39HWTuAiAtGoUfKpUNhfpxL4cp1fP7YJoU3Wwp8utDU/NmQyke2apjrJ0
2N7V56w1t6lbbgAhay8aBKrFkOvG1ogl7aU27YOrOvm5iYfuHNbuniUwes6tE7bg0YEfBZ+yXxd7
LAcAqG29z6pY2YgOoEZUiFRPpv49HZspPD0BUHLXt4O2OJvfQnGwFufuX2NFkxhhSvnSNdp6W+Xe
sL9dxjYf9kmcoMhUqxtN88CO3XqvseXzEUWTewuQVz+NZrdo0qSAC0okmmreOnu57o8iYo352d5i
BLgaQhnN2F9tYgg1nHd8pKt1R463/Ag1OV12dW9utdTk+JUP3luiAYskdznssyFJXxTQw6I9c91s
O/hhuCQz579BZSYXZSrOSU9S80HR64s5tQMTpVqJ5wZyFlZKEQmNZ/Soil4Z9m3fmY9oCQQXIFsi
8aRXighExkj3bX/qEUE8DfPa34YhklOEuIP8++FIkylpf/lKsTZa8J5tlZ2DaX4BB/Val+ZOOmof
EFGqraXLOJxOF8keQTwMoHtvbTpSte1MJRF+HZPGsXzgm2f8miXGfgnFeEMe0hnGui16XPWjjx7T
Lmyx7RKXwZDnus5O5NZkBpUMKRyhB1T49esw8P4RSkGVjXw9bRDjFahaDp6FDpj3vK+SrdIXzlNh
SvLS1HIqulOYj3q5ia4OA4QhkNo9UovID0y9UIOVUyvrRxFF/pg9ecZ1omhJzBYcSGjde07wLUTP
Zp+YJJ0bvDZnogQ2TAeQL23y1Ia17e/jbm2SQeX6Wmv7Mq/REHEyUJMHsu69NVESPVctHCNF9Xml
DB56lCPa2bERyW/y6G1lpTG//zk0snj76NNQo2hbcDF9t7ZL36Ly0vp39nQpMAQ/yDJOyHig3ZlG
kcBTmjpE3NmI0PNe3UqlikiCaHNaA+M/KarRbBlQQrnNKyTVWsc2OIDC9+OTNtbviB0jJGayTUNP
B0+TKSzzTl9bkY+owhRWahwsNbtz19fBsevPVTQ+9iL0pOLVMvwGJbNSefajCtq0gWxSQzHR0IzH
AZmOY24qr+ItJpqoze053wYniNrWwYv0sz5k1DnFgUyZlJVyhVzS7aR2O5aJXrUgofTlvCa54DSh
oNs7Z3RZfZC/Qlch0Ld40mH1p2JgkA/VXpsuXgKIU4RjFsESyx146v9rEndimBghQnGRa6vauy5i
0FTdUcjwGnutuvgBZlkQvJoZNPNgBAYVwcF4doaTb7XBq+wa7n5EcgQja0LVSfSFhdDSVoRZne7b
VHHPYRm+uZX5V6QM1sIz3X7n+Flyqf14X8bt8C7ag6ld1eEM/kO75cvqLpA00LhTObRHLG0pQlEi
FdVQ0XErm97amrHe5KO8lSpZO7qyn614+ckUvQlvF/yLf4auDE3UKPRgLXo9ch/gAKfuslDD4xhs
3bzQjqETFksP+PRSQwbkiJuHMYN0XLyROIAz45vuviUzeckblxxDULzpeIqtQzWuV9UIkbJQ9WPA
m/3R1n3nOn2chn2ZDoh9IdrZKulLIwgPAWj/3+APWgY+FLKtthPwB3YCyqkaFf4OgCaGFLAoDt3u
ykYZ9GQ1F3yjMSfiVM7hgGLjog+kctmGFLBEm2EqVDCsi9NkfwxLjdeo4+QzA8rqPOjDeSS5h6YP
XnyLSMUPA+K1/yg7hTt1FhP2wW3N07+/IUCKfnlDgBy1gUiZMjjoCT/6JbdpJRLsoLTN3zHXaOcJ
+y+c4hHym2mBwvV6b7qGsW8tJKtgP+lzQ3RdB4iu66U0QHx3AbyWyi/WbZLG10R0PoU2n8GlOHK5
mZmvM9jCS3EgM9vsZ2/YJtkDWhwrgV8QeAZxh8HfpbSaYHtrv0Ehuv91ivECE3Eb5sjdJRyrc6am
yJxhkh3hrmO1yfiqKpilofqJgotXDq9ON2JmSY73LnK66zBptNpjgm3eXGx42F3IK9dAjeBWhbjt
hL5UNG6Dv2ynvoS3J/OeAp47lURuD0UW/lBrGPbiNnon6pJJgHSXFHUvemkUSx3zzYMjRc5B8gZ/
KUlh8lpp5V1QkeBvRII49Wrv7E4iM0peFycdA6HHTpV3vLUHTB+MZFMNJfWCKRTDYBV1h1xpMT52
0e4iQ5Lc3z7L3pBc2ryXd9cPs2bm/UZLOOOKIeJSTx9838wuTZfJu1v7bax45vVLIxnZ9XlhNoC1
Hf0SBGYcnclEK1AiDQjCjhGexUVNgvcxQcxDRG6n2Pdu9CoCMce3XHWr1U4FWIY5//QcSBTyf2yx
jAk1+McWSwVMCHQU0K6qTWm5L6eWqI+qxMXg4r321WRHXs6/mqX01YAGC4ePhVEZaYX5muMd/6lb
dNS58VbhU7EXB83aOTUIfZ5FEOHpt4CN569FiGuAckRO83w95EaR/FlklndoS9vYDApCdW7fG90i
dBpvAZY2W3T4AW7gGL7AYu+xpvMB8IyjczL0TrHIH2ovdqqHO9FmTumCcJCoxbnFWkTjoDcT1g5s
U9fmrIBZVunoqTr6g+0jJDGdjBOVzIOMT/NSnJbdrPEfKFXPzczrHsWIElE4lPbibCvCwsIqvpsS
PSKEla7P8G6EQaePGKbqCHuxW7oz82GAK1uTZ1R8uVt6DRoGvt2k5kJ0VZL87uS2vsGxCLE2z/M3
+NC3iHL1ytm3qnYxktw5exF+p3jwIMo6tWWurR4lsW23IsXhHRlQSo/9ewPB3RM0FQooBfUl0c6h
715EYyBjuB06e6RlrHvoGW9i6agyb1zBeEnWStl5+6YOJ7Ky+1DHfXUUkLVaTSEsTGoh5rSki4uU
uA9RZFVHEd1GCMibmPXrGWJE4PUDXiMge27roljsVKXyj7X7/UuzCK0WaTJSVSK4LZlifRR9bvP9
tliKu0I/tpVdmnfTyyq3Q0y/qdXtODcChoF0d5SVDLCMHffk+7DS6mUjfG58+KlJXWR/FUl9j6uY
+8OsP9p0QJBSUvIlBpvq96pW3lP8jt+8yPTmKQWPXa5yoFYng5hBDa1jaNXWMTCqbAuX6cGOUm1c
+FOb6EjtR/SQAnbz0nQA771wnrbo3txScz0aC5nTHvkUPNier3/7dYPL7bUF17VbV61YJ8lvo70p
x/ZR8iv8PbuS1GJjSCVHERodBQTnooC5ukrhoz0EoWHscrkPZn5Ty/G80g1vIUGIXonNAatP+RAO
pxhtuAIQ2+G2/ln8Nlbs9/DPFvuFtjrXvg3jTwFm2QVR/MT4VwW6yUcTwPlu0Yk9G7pTgfDPtWVR
UkPCN3AmRmQNPpR1WUbHpGmQ+HH1fB4VkNPwXOClazt44XJy3ZfTRYS3S1nI6w6L4+2tqTGjbo1Q
VTA+K2XVrEl4L0m++Xcq1cj7nkr2vS2FJkeq0Vq3li7BCrTDduUXpjwX3fo0EFf4kJOHRyGzCNc2
SlwzrdXQbYnLcadgQ3JAo0pZNbDJH1pd1+eV4VovhWV860cj/cwnaSIHGN9s9AZ0yMr+I5LAUqhN
5S4GkuJwNbPyMZP8maOq5kNc2cVjFjbBEqXiaCU6taC2Ti6iGKJTNHkKmns1CcmtCCWUY/fo2HLA
h4eVk6eJL3GoxccR2sEix2mzWhUVBCUUW5O9H1MekRHPZ5s23YpGcYmm7usdJklIfqUUX25jRMhy
a65tvZew8MPXaNbrZbDzg/C1z3rnhFSgc2qnu0JF5VmO8mEpOroo6zdu6aE0kYzWPMKRYN/Y/fCq
4hvo9NZL3qouXnLot+HNNiswQx2fx1TG/9xQw7O4eNKlcfFlk0g6n2sj7ffKUL7f+rUSb9su79WF
aIMu9ZcNC4KNggXAbB0PAZUSL8dVJzFR9lSxvupk605BvGjOJyX59g8jck9WVl2uv2ocz84e+U+N
Q8ZFRKHh/RZNfew0KDlPIzNFWt6iqQ8Pv+gzIYm7j7MmvG/AzF2/b6iRpOueTOh1uy6Axykaba4O
YM/Nkzs4/tKzgfJTWY7YI0pVe5aVdBvHmfSMreIktRors24aFeYdltmFny9FLy7a1cKvctDFORAC
8Wg1i+N7pcZrfNr6i0uLaPC6dMOfP0EIvWRdexEe2YhQHPpRPTeJhe1eOgQQ4E1KvUpnV2dxoV6K
lHhmLGsXD2iRgSsRWuAUXpO8nzZ/18Z4MLJ1q1JKdT00YEYcVpaBGqX3+eSAishzdwr9rWi5Nd+G
+oqR3IuOOFH6aahsSZjA5XAjYPvK6pIcOTpEphl/Ij8s7OqtBFNCBZnMixE7QPaVZsS4SlH2CNH0
SNyVKnasE8hHi4Odg13qRfasctd69m/tONqHx2zMPhIv0c68fOZyrDlPItOS2aj/BV1+FlHoWq9K
67rXvIxKEhSfwiLbic7Wq50Fhbh4LcJAM+t1GKBmLZ5mDuWws1TJgrWNknKrZCEpTYdasVsaB1mn
slLCBMMKpvY/+O49tErkXXSNF1iuJtpKRinlOEwVLk7T66qUgu9WjCAJS3DziNWdtG5QMNiAQoKv
NtrNTAwJI7ItoEDe407iL9L6gNfUpP2PHLj+D5tJS4aoBiGLTxMmJX+mwDVwnR4yLfE7xqUzsy2a
e0WTqnNUq9EuryI8oKh3nEVbbiFXGhWoG4hQdIya9XVWLymbIXNq6RHT61k6wut3kkk073YDtiJ5
0GSkRchGAQmwNPxmxcVNjGKVGfJfoyRBY/UsWHSqpVZ7zGt+DhGhjtXgz57b5N/miOf0Q/n2H6dX
Ae7IfkM/qeicy7B/wEHrINm+/r6qUq78LtG6N7VNk1XiKeFMeCMiOWMdxV3ux7zWA7k+l4EVbkUb
BiLWsSsmP2/qANUaRlk4E41NFNjHBL+CQ9RaHIEyj8OoqZy+3LVqrF7b+l93///jOrVc1YY3rkWd
0gAQPPN1EmviWCxCTw+jvShMijDSe0SXp6Lmrfc2+Da3zrDr/jL4FnoVrFosYd253CvWwc7QQ7aH
aJNMSA5xIV+vzROI6GsSsHieQQY8mZY211W5+CgjNMPAKNeYNrbQiiMOkb6tR5wLNCTf+tb8juJs
xV/7uxk10iyJ+3CXoyg6N/Mqn9l9nL56A0u+5PfKWoRpbz1JmZU+pCrFONB5dxj4JK8BbNmNLzVQ
DUQYjuPM7Nzh2IXt8Kyln2Eypq9dnKZ7TbenTzaPhmkQLDJbrnaid9CROvbTEsCojCLQ9BOIh8kJ
pGPxE1xD3XnK7DZ9aJwUvbHWuEs831gaRhhsG4B1i7K3DEoauXsfYBQ8s6Mi+ODL8RbYmfaoyaG2
NQPFX1Wotr7b1odUW/7Hl4luo7z8++dfNf9UL4DJZpmmaoEFMVRUkmwBjvqNCjBiF1lIjpk8mz17
kWddsfVV5Ycmfgioe6F0uZcmWzm/LR58z9PXIhLtVNYs1ESnXhHDpiHzDgxs03V6skV8jDOer2cJ
VjsNOqbuWG21FqmxojDz+8xs5l4ZD2fRlGa4QLaI8ixEKDp01Xk0ywbA4DTJgpxzqPzxIiJxmbzg
IXeRVWmB/C5DFd4SBHNrnTXuuOxDoJJsMn1Unuv4YABGeOkDUAl2MlxA0nnbIoTa7LetMRHK83Gu
6pa9EF/i61defJVRNV7rern3GlmdIfSQrENnrE46Ra/rJY90daYjEfhbhz8NETOsaYYYDF/4Q9Fc
c57DDs1nrddQnJrklOpfd6XoETGFXtueowPyrc8dAN/TQKmX72rZvP+SB7gZq4rcQDDMRlBsB9Es
nFdvKQO01QuqbJjg+jY2njBApGcvdN911v6TiJr6FOuZfUlUN3mQLf9E2Ul6VjG53mOoFsxLo5Ge
ISkFaywFllUHOvUMASc9s1aHDxV/ED+SjUcJZe/HwkeJEcWwAk8VwgTRu6xOhrUb5u1ewpxijxRt
u3di1c5nt1jc3cbY02gRcuy780kyq63Sb66HOJ/kxc5384uAUQjghLjTESFEqdwBaT7kHPY8Usm3
cUYGA6ySwpHtgaKflMAw5tjGqkttCsVFrj3jlOr5w4To3Q0lykV47WL4VU5CxX8OCwscGq/sOHnE
kzSqSv8kLlhlYso+3IuAbCBpZzLLz7hmjVu8YxJ9JnqsYLK31hXSttNUhw/T3q7DIytOeO4raxZn
XXwvIrxfE+oXwbQahWdxSfBTXY3wq9he/K9Nz3328rk9R+vPP6ZIDVZuq10iM7dFlAehdgml8beI
mts1qhJVvUSR+1ufcP8l9Yq6bm6OiHMhDSfu6q4fr3eiDR4mBPEOnYCgiYudZdj5TssUl3Kb1aSo
2op7RYenmIRxistfq27tYhi2fdLEB9V24eNJg3uHZei4lCh1nnHxChY6TjaX1CjQke2oW/Rt8Bly
nvxmpAof5x79nTAIZ3obcOioynKGbWfiQe9oDkkh4RbqVz9cs7ZfUydDGyJXkksGSwxpQchI/76g
/o25a0/aKhweWVRZTOn+giaNTNdPu6KyLn7tIig9vWu7vCnwawjjnUhf94h3z3NZRmi1NWHyTr3I
Hv7slZX4Z+9truhVjX7bqFn+8E/zxePEBB+Z4rlRluqwx8UBXEvtp9gu/UEfMBsg9xyGcVG9JrHs
0OkOuor2Iufl7pKXLmp0jtlddA7tDWBXSVJPuh7kL6MdjLveyqaKLCGZQnmJoj3iY1OIOCxQ+qIu
jiMuLi+Gkc2LoYjXjYFKiFf76F7YVbE2MNG6NKNxFgfBoR4xPgLw/Bh2hrGpPLlYe3VoXaRWOwdQ
pTaIZWGM2xc7ucrSN0MCmh+wzT3qWqrufUc1lk5mts8IPD6LLPevoUmV/hyK9xUW0NNQlFVesi6X
FjAmraNuQ0teKKgPymHW7GvHZ0/XDJ59VCnBHrW6sz/UZDybfCk/ZK34tPzefNPyBOxD4o4vsNag
RJpme+ktSBiJozaPcZjijNKQpJClul3aha+f0lRq8Tko/Tu3zOV13+g1Qki6tVGl3tk5KF/tNAmv
MKvr5L1dFNlmMCEDOkEWrJs+t+7y0JCWpj2M9yqwYEqAXXNOwwwh7sCun5Ci5Syvpt0zCxeKiEmv
vAYW+olV3knv1ji+8j8pv7EBOFpjYX0aXbLSm8zfeRRtNkXHf6fV0/g04BD1kObFRx9qypviYcdZ
eUqBbCZESAWNCNGe9LW1LsG2rXrPkt98DxuH2PafOuxY+HJvR2cINzlUaZhSVYA0cxt904tmhixl
8zkUKH01ZpNfAjf2Vqohafu6SL2j7Rm4WcmF94Ka/3PnjM2nFIWrpsG03MwQoBk408wzLWrOSYZO
udbI7d4CzcqC6OWrpvTzxyoJWS59LfkwinGlIC+4j7IgnltRbqNOLVnXiwhRQ6nYgxg+Tu10KJbS
TUrr3MpJyK0YdL11puka4t9Yl/z2GDHYDnAftmS8hdH3qRZ9J5d3rhwg5Gmm6soDtfgE4BFNPJRe
PzX/DVXF8VvKORGfpFR+UIsx3Uihbm8wclDvJWT8515hFR+VV87FnNS2fzSqnF3yBCHUho8e+oQw
syUltYDw+j3p6FLmtYi6LKvhYyB2H9NFm3Ypor1sxkeQnz+bbu1UJfF5ZlTnqpAisKi+PuP/2SYe
Iv6Fvo1fEeRB8iKwjQUoe++pwZz7Dlnne1UK/SfRhCD4DjHO4SRPTbZTJhAoA3ktOrG2RxA3pBgg
QkcdyMeZa91CYWVe9e0Set0dsvf1yayl+rH2g70XR6SxEL3fFAqePe2U1YI6Hc5a1alOhaY1j2rj
/TasGUBaJs6LFlnDJidNh6I/KF702cpDb4BdExcRJtHA388w0gXpI+3eVTLvPgx2UHPJV4omqTPe
NaTkfraNJl90YADFUvSyy8j3//4+Ic/wZ3XIhjBig/KktMqXU1G+yosVWpqMWZiqF+qfFGNWrLX5
rhvttUne7aGYXuSj46yhbf6Mpr5bNPWJkfX0Wu//GPn3eWIkFhm8s/73L/yaF0RSue7KdMS5yaWc
4jYd5RXnIFctmEnbHO5Ei7gMgKLWUhgjRfBnR2XGnAJEoti2Eyx/ynTnRwZMhqnkxhc8u0MqfSMi
ccGvyVizUJRzxUADDASi3cxbxx7WfqrMR3BLcAAb54THjLsLtPAhSEPnJJrEnRRQrmm8UeKN8b8O
slvlKk284S50qqWejOq9N+1Qh6TIF2YkFcBOUuPRV0J5z/4BgZpE/SjJ8z4Fiv051qp/KZW2Ww2p
izatGxl3uq75IIa9aptnCKKRjYK9VRtn1PjyxyhP11FiZi9m2oUHoyE3KEJknVVWLaNeIc6Wvwyj
GqCOvzOzvLmT4jRZkJNSwd9nJl/zzsjuvHI5KhWQUXQq0TGTMeZIIMGuh3H8y1AzdNejtl6SmbYv
Ta6e0eZOviUtJZQ+gxICNMjc4ArBy/XvI8hu4qLlKuoaIg+mAHlNUUNNEpzgx3yZ4MD7zLvsO0QR
91NV35q6qe5jmMX6xrXQylR1dAFVKzbuuzhTUOEJrCWkC+NVzqWV3xvJN0WKf47gp5d3E+lsaSE6
e6xyvZr7CTppAvJLSh2fopKzspoDcgFzGkh2t79C5Fy/8Q7B0B962Ss8UgRYPEkVfNAKa6xo6NQf
nqLfkWaOPkq4vbMWKOyLnReYy3Vx9DS0gbJw+c/cxzgHrVKg40fDT4ZNXwNlGYLW37t4i24yO7OP
pBvjVVgiCcBfDFEGjYIydjxo47IHH49aMcCNUDNt62ET9xr1vAPy3iFn7pbHHv4Bgne06y4+KJrf
M2xauPqi/22YHBXGDPeu4VUaUp5WGz+HoW3Ozt35was9etH5FSKiUL55yB0sY9P2D3VYlHcx7ilz
D4LeB6pvsSeb3wJZzuZjHTkgoxykf+sy4IdVi5coS+4SMzK/JXH8mUpd+WQVRf5fW1/jC7OApcpB
d0pVSKfJhg7d7c/cY91HihU32XABreOcS/3Z1hoWXuQydkbrwBiIo+INndx8Zkp1c2q7QnvoVQVp
DdqjMVq2QzepwdpzLe+jrTiIiDCojN9D0Wtm9b4I8gdntOODqwTdyi97ZJdQfsQ8y1DftGR8CAQu
17G3Oe5bPyoz/0sbYvtFguI5Tzol2VL8+VHXlbyX5IriTZMP776VnisUgx7LqR1XqhRpKW14bw9F
6GZY+pJ6Fyf6LBrlVTdmWB1Mb1aRF6DA1R8DNTe2Zmzp9RqpqHRWGFq4tlCQHoFCZtQqkY/+mUy3
OmUh9IytMPXYIMl9d9U3dpGQO3i90VCV6MOvHWKKmZtMEQNrp+yXid1fat28F0hCgT2E5R4fpiYJ
0sCDn1sxEhP2JCGrykfbqoulJU+HIVlG2ww15+91AHNV9Ywfll2cQ9eWXhEUMOZRWCr3I2R11n+F
XNyv6YELZkxM5zd3nW4anv6jDFqErAfv1Ohut7GCPj1V0ApmmWemr2UZ1CvbMpO1VFbpq2+Zb42r
d1jmjsGjA21WNA9Oam8QT0DiZ5qUDpz+dLV0D7ov1y9BttE1N3l1stzcUyUu5yLspeER/s0pnASB
cCi5s0KjePK6Gg18RWsXot1LvROguuJJq3EVc0ZlJsf5CkFwtuDs5A+Ax3+/3Npkq+6WeobknRhy
6xAhSNFuCWfJWqQdDiW9msQPDh6OS7YbMi/KoF0HYVIcvAJ7uIht4S4BubBH/q7YaGHToBGSKCvZ
a23gy2OCQ27Yn+PYQaXRTqtLVE9eJYrSvMo+JkdJOGh/qe5UA86zTzTOVkPkuv5sNNa2ARZ1puH7
0URe4M3kjCKMa9XfGi941Fp8BH+0gCm2omKGj/Iud5voQZ6qaZkd7FzWtwfRR0Xn2qdNpPhffaIm
9/d5TlT6i7ZL1St7wNEDE1Cp428EAhNurLbLch9y1sSRrj1LWuldnAN15RPZPGL0s2Ub7/2Aqbj1
3Sx4IxeisFD00V3sxNpORtpmlYSq9WiXVLEDpFk+QyyVbSQUSqWQZ7i9S2cb56F1zWZgh/KzfecV
7DdRLx7essLbB05cH7GC09YWmbwZiU/vB5DTJNW1HxiuvmUUl19wjsW5z27Gk2bl6Bdrar7V3EZf
RRh67VFKCVaxXyl7rVSCo1wX8RLQV/SidfEzOgDNJyiXVRPp/l9DhG5Hbg7+PcQIVpoi9Tde2WoP
lh/5HItV48Pq3tkyQzeIcc44BoKmYPZ5t5/qk93EVxAdIIJ+3unK0KNvkI0zeTDM+7ar38rc6V9b
9HVXVqqTa5yAWLWiL+RGcp6GuCsO8JqCuVzrwWuThcDV+HhsROiM5bGpvO6MlU/90GURXo+McjIt
3qDFjyjNFJK8I/Mp+d/Qam7uqCfwq8ghI91AUiMafFSaA3L5v8BWA37rEpJTJ9FkpVawKWN/Ta1A
w2iqh3Dh4eGm5xUrg4wdS6U0zRMK1Eijl233Xnv5Q8inw5vlWChEUYYTZZjvB631PupRgdjvBfpF
Hu+uGwMp+sZC/ezWuvaC5+y4aZLUX4rQcVq8oSS+adde/ltd6pl3/75PN//27jM1jQSxCoJfceS/
Mbzxd4AibRbSE3L+CtgmhKSHYmxPcpdEu6or3RV0yezJzdiW6Gpifc/BBXo1X+Lb2AFe43aI7tgW
MDzI06e88LHKzTTzNjyRUaQSj44huO6uY6dHGxObpHKRw74StdOxAVIfx/uajO9niQ1B32TRe121
+jyow/Rej/AlyTh3bLxMCe89WKNzU8q8dwQc9x6bcjGp7ayILCg4DWTScWdhJciNJHiyMOJUp+q8
j+DVU4QArGAmiL5f0RCNX/umeaBcrP+QlQEy9/WgBONEQ8NABk4nI63yBUZH+sbVgRNiaERpdxE1
Q5S/xAZOXz5ejADFqr0td3AzxW3ZUI6sp8u1J9UHZy4aO+yl8tk42Dh3GiBJzfEocC4CDiPuvmBi
voRdZwyoR9SmvoEshTZQ07ZswFv70VLw9EztttkrUmEd6shskeJW9AtSJd5sOgV9JvkBMQbju5iU
SAGTrBCDFY0zv5hU4eqKiYatXTBNYKsfn1Q19783Xbe08X/zkfXO5jgapZ+w+/6yanN8dZS6QidX
Ns7yEEGLxUXtWCP4in9KJG8jOfKPBnCBlT520s7x9WffJUsWA7I5kKJz9uBDw5WUjN1TCieOd2U3
fOKUHdY6HxDweOA9cEvqIsdYBk75cxKJ8OA6iWNr8WvSoGTup1Ui1VXGOHGISeH0L03Hpuu/5KpS
9yS7mPW1AIDWre4g9QuwM3gea+8vxbCVQ6dF4W7MQ4fNLlnGymUvW2HotdGnHGShYYZuFINzzUEi
L4XAaDBe8thYdDL4TWw+zde8/VFNOPe6qftVST5lYxuhNTUXWoh7pB69JlbiIo8GV7eq1BdkDN07
0SQuInSSeEXiPTx8adcrVZ1j/lwu0+EcNdqw9yftQyogkImnu9tFtEVem2+i9MAKhcWm5smPaTQB
jrHdPihTBtkywdOqdmoe1CllLHqHRjYOpfPolX21VZNIe4lGZ0WRznyUe8t/KP3uMZ5IYJleORsl
icyFNE4OXQ16QFleppuO/PtCfGsVe0g3zmA311D0Jma+dZVhbeT1DyOHjdkD1F+RxjFpIpRC5ViA
/zy72XdtsKRD5QzWUWxwfWUVWHJxvO55VdvEIlRv1XZBcprtTIS6WyeHqKdVPuhqtmqcMr0FcgX+
IQ/95NEYw9/bR059OAUkj9N4o0mcN109xAMI/6SGY4uR3VIXP1GAojZbf3vRaa28MUeDP0Dij7Ok
ru1jHfnZRaq9pThnDmmTbxPyw/MuUpvHoffzdW5r4UoUCt0I3dck0p1DxK/sJQ3vc1kZnkGfPV1B
MGC9tMWoSfKKvbG1S9xGOmIEwPEyrItXtGvvvSnX2Yb5zkxS4w1d3BCguBOcCjdwt45UVevAc/Rz
nOJ6Z/8fbee11DoSreEnUpVyuLWcjQEDe7OZG9WOyjnr6c+nNoMYJpyZOnVuVOru1S1hbIW1/gBW
5UejbvW4/pXBdXjJ8geSwTkkwt93JOljz/uhDPQCitTvYrKysV5kyH2i5AD2Za4RWaRb569TVlMy
UrE22YrRDppkmY/fbGuVjbyre/w7XagEzW0SWvFNa+Qh2mu19dJiG10njfIdOz155SjxdEl4SAII
aNrbJOydT2nTPYmIKg15YQ2TT02RlLvWzsKDkrTlQzsn30QEFge7wujGc8E1bd3MeiPVvOllyDRy
kCprWwnwZovNiE7L1NyktaJP6RDeampS3oubT06LCcW9+BrPY0ur0fx3rbd5nscX8Z/v/o5s/fn+
P8NtqPwoFOr+rIWkGVIt+fIwPk3OsZKUvj2EKZgkTMe6dYcvAmLmECPEHpLtvADpcJzWUe1JYMk6
b9tmyP5AToGHT27iVOqDTfVcfoottMhNLlW7UW+irellZIVnaLEAGUezxk2To09UQlgLETU6mVxZ
P1u68zmzY/VOtGR/WGlZ9BSHZG0UM/OOXLertZ9ZxguM6x8WQLlL4dTSbTxh2pfCMLsdHYmqVDxc
gqarIf+1PwyUavEViWfsQjc+R9psKlIl9/Ho97d5BAs9tO38tnIsbx8pfX2oeDtF+Fra4BHbPQ6q
PN0kYfubMqnd41giPB812JiYDlWFgnvdD4x9V8iiK/tYiaR96TXfxgoduFRPCz4PX1v3ilN9xZJp
k6mF9ayPureDDpztzLJo8fErzglQ3pck1dairiQ36BKNfR7cW1F56aUgOgxDaJ68DC6K2HD7BKGY
l8itzTyhmVfV/epV7rdUaMLS+RLkHkKbmlydbGts7iiJcSttsWbVcDLYVrGn31VcndzeK+2t3YMo
WMHaRrWpja0H25PvNGBwXxUAM6u8wI/Lswp83icMJGX7OTCy7ptt45RT9lW9iaY22pmVjIW0bPTP
jmmGOEME3XcfOnzll32warWnLtOdX0YnXXgp3jdU59ejBWNhjLEibJQGU4HA3sV4u59yjE/2pi0d
vSnPNsoIiz2pu5UMuvp5yrCd6cDFbXOv5Q08a+7UAvwernbhtzbu722KrT8pOZGzsRzX9/DwQi4I
VyNgMYLtR8DvtMBsnDpoC8nN4AfRRWzKUlZOUgyEb+6KJQll/dQ2NoWRK+feGuEf9MUX9LfvSzMr
nkDlPimVk9whoiR/yiXlc+4rFm6MRX0ejeoeIgCQ/jSKeIX7GcltdiOH/oMDr/vgW2moQ8TGcV4i
Ae1spsBMX3qTrHHRytVWNKXRvLMLXg9NtetvWxMfaF/KshddisJ1JbfBSXXaMzBNG/wzKmKCQRM4
7JVoNsVF4CPi3b/2i8GYJCbpmjlEtFEbw0I+z9adN36iMpLdlQkWkkpe345DxC9p6pVj39fdZ9nm
Sg00PN2RJPnBfbe/pHannYfB2mNyhWI8glok9HQg6POgPHr9pRss61hM8TdqjET0KCQcnBBdsms7
RBEXDw81WXlD1m0KMsufeYxpN0Dvua3NTVMzHVd2cHTK0GdGGL0Y3b6pJeRfTC07XXctveU1iScu
2+3n3tjnBmWrmKv2t0UfOMesHu/LMTLuML/Z8fa50R3tR94rPOFFzbdeN7r7qUkLV81xRq7Cl6kC
6IvXDzbRUf2r1x972+o/1XHg3JTeBHe4TKBVxC0kkohLOhJ+3l7uw9nKkmt6KrXFfTbvWbpyn3LR
P4kuMdjldbrre813RRNwU3orKdW3mJJwXlvGUxVjB9TXGA+KphX6E5m3+GskZeYT2sL9A0bLbjK3
ihzGZuh37WbAke1mmjegyV73kljDaDwwvy5dS9gS68AoprTB0d9mWmZ9AsX7q/QK+ziUdXSwW8+B
Ejqk+1BX/HMfhvUuqLT4llLiuNUKrbyb7MraOCnSHn3v3zvcmfd5mqcn9IibY8DPf9+GuX2joZS6
VUd5uhvKJsdZO5Qf2ilGelrv5aciuVSVAerAntILutbRvtOr6hD5TnM3hm1I3iupXlQvO8slv/Q4
AVugZPVvUYUbPEi99F6j7LoHSCXvu6KN3RLL241CFvWgmKzWG9J8y+hL17Y05Ss2JxtVrsyfdpE+
KjxDuDVZwftekzaIixS/dEhlAdfCF7/jDPsgzu+NLGz31djc2vyUdrFq97vBACsjWza5BTNQn2Wj
/qaaafQrM8+gNBFY4Md8b1J7frECrXDLTqkfkHtpt2XS5Df2UJ2ciJqg50v1PQwj/O1rKgFlPrhB
XiU/canCTDrjmcS09WwLvTA/TZNmnFVwJOvA6ZUvej+eyYHYFCodhUv2tpbN8msYGNOmt+XySJrS
esAL5CfcCi6UVO15I67NS1q30UkL8Vez0268TZ359cUwvkVK4UPLaPA3Cxo8A3wekZAsurSgdL87
wORWSpaOuNfoPQjzSt5WWdc+k56gQEJEOD8422WeXtS+zsEB1HvZ8pODNTnmQZmi/Ib/Zbwb5ca8
c/TSWYf9LFc1RM5+VMPxJiuA4w+h4z0Zul7fW5jwxTBTe61faSXlXn9oknOIAN+OCnKzEeAun89y
bfZheRDQrxZhc5AidoOoFdCvurVXLZqmT7LcZQ+yl5MybYyTUXWJq+ldf8AQ2d9MtpK9QMT4SdVl
uC8dqB25FvwI52uuETtYRUiFG6rkYUdHNg9d2I27oYuzB1/tHfKVbf3dxKkclWLlp0TJAudm61Mp
69NGUeIXe6ywWss05z6dNxDs+5Ua8UX1TEmVsLStlfVUWcUm8CpMb+cYxzH1nR3pzmrpQ9kNfovB
hWWOEGGJMZj32JzOHdfFElPZ+aAaun56HiU/2Nh5kZ0lnwQg/ECenzstuXEi5zcr1pxzqPF+HdSP
k6aFrjqpsxkPLPfKO1qOrZwLCCruhL420BNE8Z2kVg9Zl4x3xbwJcfNKMSduknBf8Kaw1s1WfUbu
9KtWDcMv6nMTSGUeVHjbrqQkXdWNk296ct9cLhMfz/aEC7UuGZeB68heHqVonZSm8smMfGvvxVKG
SCPWlZaSfAEIk6wnDKDQ5CnGm8kDPZJiLbKNTG1ADyjOt7Y8Wjd52bb4EzXtI0ao6V70LRultn8P
qW2VvJoF/IunERQJ6/rZrvt6lVl6+LlD1H3dpYZ2HzsBr6hgIcBz7yJtgiIAIQF8D0KQvVriaB82
577SeAUkQ/WYUmdaQcoeDqJPSTUTq5UGUrFk30daaP2kFoULAg7Vvv3gazwl4zDyVZak8QjydDrq
EkyTlYd2cjjOqYlS6nkQjL9IdZi89HIAYB040AxctkmAB0dQ6R0CaJrpxoONRQkYeiMIKUj6aXgj
F0N2wN2Q30MhS+vSmlRKe473MFr9A46EZ7jReCtNkUSCJW53nlLlF/JpUJKlEiMnpYE2bvLUBKW2
+mTmY3QeyGuQCmmqT3GR27dOrD/x/TGfphE2D3Tw3xni1qwWs1DBSt7i1mVHAVgQxMVAVNbebVN8
Fw0Me+RNbvXx2rKq6T5GGmulKc0AM0Gb7q99qH3s1MQGezGHiAHeFtBIkdCAoafoo9iVjYwH4Fk1
bXCs8qZtk9e9RCviDbKRBjJffd1QhyXmusuViO9VIndbJPPRTTSQnJRkqN2p4nhnseFr4BxamFYa
2iJnozK5AaTRpSmlmJ8/l0WeYK2LMuHl5/HJHIzKsC6iD5/noxrX0z6PbBWBKZhdLS68ijegBifj
wJqX4y1VJ+1eHkfD1bzAvwSc9W60xmQv8WpZqv4EG22cUwh3IFjXnSHr3KZBbjqFChcn0l86SH3n
oPsxajmFVsyQt45N4rYIY+tYezXPYvOeEiOfc+0UbbFprFuqvBhutWGzIW1KiaKACdlLyYsXB/Fv
mAnMiihS85nrvYLXlOc/gkUJN3pUeXemzJcijL/yckUBfrYiVVuDW8vcFJveUUHV4jeMmqIYwrzY
PGb9WuoT9V6rH0K9htgom0ivYJJEVTJCOVl2quTgmZgqZpMihW4xkQ/QYwNjnEnSLmJTBlACedpq
t4ovv/ZVTdtSsFHLw5BU+jWuV5RbCnrmTZwbzrZAe3jdWop+bEIyLQ4a1k9KYNYPfd2vZERwn3Sr
2zixLOGQqgMaqZVnDcTqDQkC79o0ihQ7xrGPtqlaRBVauzhgFMj/75BgSqjF5t9tL8pxDuj7I7+1
kDdmfbgYKGm4GH5NO8Px7FNcSZ+DKI8fehiSelvVT/44Vk85aKRCa5TbwpeqJ0frDbdDo5orLE1c
WLyd0pGa8Rrv1sgBVUHd8m6zyPyhTFP07KdRdQjlgIqQ48fPJmyZjd7X4V6MwohAuzPQC9ArjGIz
gcptLD3itio/cP8AxkL3YHXwFoPcXJm8aJ4sCVfdojO0vaFhTISKiAljKq4RbAI9Bg/c/JSSSsC/
wpbX5PUZHWVlV+Tc3qXYMkixBOh3AhPdiLmq0/m7QilabNDmuS2gM+725PnmYJ7w6m0+gYwXo3FH
7k8fp/LaBKbFDWsc5K0IzvqE+uagI2c4LyX7cbapWhJj17nD4K0tCto7Eax1jbquAtu7jiazoRI1
3XJ/nRv2FN46SkLiT4inQHKpsMY7zHj2huV0dx3S99s0nIobOz6BPgmfpNrtFLl/khSre0qr4TMs
Kuec69mwLzvIm5I29HdtgwRd2DnQi6TZiHDua5Sv5YSe2rWrQ6zgVqfY7MkFOrcRb8wAzYOj3dv9
nYjPqjBB8wS/dDsb3NTKeh7xQnzv5Sg5+T7Eb1hv3zOSU1+LIsAOIteMu9Qzoj1uksemmdJ7zMY/
tXLsP8NHVo/4WqB47Qz+cxU3zZZc+7gVo4AHapcaoXMUo7lePaZ13t37oa19br/WZerv1SCX10Vv
VCiGmNW6hre6qyOKnHhaIIPkFLiDbCLD+n03mXd1JS1V913Au109VXBhH0kf+MaDBwnzs8mf9+jo
wHgHx/+s8W27eAnuDnNLMnr9LvLHB9GKpgwJ1Kz/LloVfzT07bCk3FoGn6cK7SB7oEYnVo2aScOu
eKrWkSlpd6Mnv2506WBJvX+3dPPAXxwTz/8kgpb+RG+VTTBSKf4wkPuRvCo92AJLsAghH8G7Djpm
/dvhvI4XRqNSlE/w4bdh34wv9mR666kB1DwqmXyWVdJdYKfXNlov8N/x6QpnFxSxwVfpdS/RDJuf
d8Y93ML/RIwqb3tJnjob3HRf5y4DIliM9q3kX1cWo5B9sF8x+5qsBLnX66p1ba+SegK410IqJsGC
P9wRubDXTcSjwjGZN2JvGVjiloEPcf8iZFkeFzqQbWL9ZZ5oLjHLkf5FyIellrl/e5Z/e7TlDJaQ
D8vX/gzM+zD84UjLMsvJfFhmCflvn8ffLvPPRxLTxFkq3Vhu2yB8WP4E0b80//YQfxuyDHz4IP77
Usuf8WGp5QP7T0f7cAb/ae4/fy5/u9Q/nynyDhVPh1ruIhDCo104/wzF5h/a74YoRTErS+zXWdd2
q8f5dZVr+zrh3bS/PILoFEu9n/X3Z7QcdYmRqTtPm2Xk/Ur/1+PzMsOrd69HPJ0vR7yuej3Octz3
vf/X416P+P4vEUdv4EAYZd9tl6MuZ/Whb2l+PNG/nSIG3p36soQYSeZ/+Yc+MfAv+v5FyH9fCkx9
ux5x+MGwfKxv2yGwNhWIeFc0g26WDNCzGuQOo2C0DFfG1n4t2XWu7pIaU7+6cniinIdF4DD6YOIA
r9xAUq+Oao5n01oM+91G1xPnDOYXBp3o6iYnOZUOT4GFWqg7ddSstU5RyYX351JmAHo527VdzdyE
r5twc4Ozh6Sn2DWGKZbcxeNNtV4nLl2LFZznadiKVzWGr2EtHXQkn90sTeMdNSnyUXKaP4DKxHc9
a24RW8oeJLIvN5j/3osxEVXyy906ZjWsoYVnDyJMjbESC0i2HEWI6sk8ImU8mrKqCEiKHAyXHgEW
nA8iBv7l0VW7u7cM1SOJ+hdHdkaUl1Tvm59pZOAyuz9PILFGnIMxPBNtzCYDd0ic1+FlQH8LMXWJ
kHwgJO9fp4m5YiPinLdVjDIOtrkOeVcpYLRoVUQVQOyKDVlCREqX9rug2LbPoC/H3bs5IE9/D3/X
i7hiYruDJvfI9KHhj8ubedspoXUr9hK8K7oua88f+nkgCtc8n/Id+jBhaIKbLvZRa/h9DREhNgWv
t6hAmd1u6RN7QWJ1e2iQPz/0i0WK2j5VxWQexaDospJ+m8pjfyjB24OZpE6IkZPBR2S5mVk5134x
KPrF3rIBXmeeRHMSAnhi16aY4lXR61wxrdZDbx1qVYPnWTpsgQB0bhhNqrNCX6++X5UKSRJMjSS+
tUCoSduZwzZy8ua+9+XmvlIK62h19pPoWvqR33oy0sbmXYNQsUmBI29N3e/ccZ4p+q7HECstneI4
tuWP1+OIAbmYvqR5Ve8ETVfsoQN1eeXrfqDuIsLnFKvr2HVfcHYFexdZWNAOzdpBlzOghnuUG01L
0DUv0/oolZLJvifJ1R/2G0WrZFeEe03VDadGwX7br7t0XUfaK3c6llrHJrsBO3rZaEWNWCfZfNH1
LuQj81qM+5ENHftdqCZ5vZguiNjIF6xCdP4xTiNnrWsQpevENk/BDIrAIVL+LcX7WDhpLBGBqSiI
Bvepqx4+gH7iFPD5VnRas1so/FeDBMg6f8MGoWl0ykyfytGcAeSX8hBSRUW4Elk8sUGQPcVXDuN4
0SyEnvQc11ANu8YBteg3qJ7USMcV9WVWKNiGTRWtA6Tesb6w4gw4SBqte8+pLkU/VhfRp8x9LaRu
LIfI0W5FWwx/WGeQo7u69fxDZ9b9TScb3Y3TUyFeiXaECv3JVm/zNh+y9XWA5BN4gMFqvwWY21C4
Vzv0l/1ivazQZtHrWh/6gnk9T7390G3KobST1OHS2vGrVei7+8qri2jlTS45BOXdHeZ626EEeLrG
iPa7mdebTO+FsusDenJh+KGPK1ExTZPwuYcXtstmszmxSd72RmEqt7TFcNfH1xkf+kWTN+huB/L/
S9239rQi8QlryoHEnOqhdF42mVe/NnW/WbXARG7EoOi/zu1g47j+VE2bZRpZdW/dFaXiXtVudQiH
0KB6xAB1LQwBASvlRrLqF21sU//YZFZ/k0UZL6ZhXR6iKSkPsZbY8kNvkDuQBztzRUw1B8aCqjA6
IKNbqm4ndbgVXXag5i4Poz3yILUip66jmugVD9a05zan3EFmVe/EXooPqDqF7XnpV7Fuu0lVA+0i
Qh0ZUO1KGQpjZ3HaUPzoXDak9fhLQH2vQ8mZKwPzcKg7SFW+HU301fMhh1yiJMPRlhMIqqy+6Wr9
erR3/VlSgo7BF6+f1MOUhOWOPLX86LQpQpWSZ/5QsfMI2rT/ZjdZ71aQ+u+9t9hQs6YPsb31peIw
SYmesq9QAmhrxNESpyadlPl7Db2m/jpcmiEZSZAOr305xKp8KHHYmWdcJ4t1+mBO6pWBvarnkQod
M2UtVjSHYC9CPk6Z14ZaG6L6zgwxmhvlOlEtazDvwKxnG7tGaJh/nfnDDOCJKHH5NTAjdD2MOrkr
qxjvX8wMtwY8lycRK+Ra/hgrd5NBmQbog6RW0spSuCUJzkCN6wFkmJjmDCOWNXTVxKhgG4hRywbo
IEbF3LylDik7mu5Ursc6rk6dfFXNLgfk68nAl+CnlqYYLWcnKjGa5rjKVDqAplpB5ddpV7qXQNSh
mHon9paBpS+YR0FwKDszgq0g4sSmR435OgB348dEhW/qe4qoywRxiA8riUOMqJ2gCM3CIng5djKf
FOir+lwCa9IsvdiYI3C80ByiF3hQ2MHILz4fAMXCEKnhvlVeSkMBZFWMj2Pew8+T4oRKuK+8WJls
UfyUvbOfTDIGiHxh5+li1azJqsNAvvffreoNKtoYkoS/Dw+PB6O3jZ3idTCzwWet0A/rbkI19J+D
Yjr4Jdn+xo6mp7zM3WEWRoM/l9+qLbZR/hwFaZFnZxOPGTHqxGrJn8KSYlQsCSuvvxGjoS6/WzIb
MwrFrGE3+Q9KCgkVBicHQW+1DzKC44fWDswtZlfmZ2kKb8V9eIlIAH4eitAytkFtILqso07Vr6rJ
KHfiOXmKQu2kW5n74VkZUiVP4JMsaycjeh197RMjYV29GxkHbj+r66M6BZ+9lteP8WzfqCUJKjp6
fWzkXupv35oURf2z2EyZdYAcXZxNCT87Fsr3tWKHD2LjAPAoYrB4ooW2hXou9eakdToGMOmYDru0
7TsuskyY+P0/WGnSuLP/1i5Hig6TmEY+Fk1rnUXIqHr9rWlPu2WCak7xnisorHoxwZNzw22QT7/G
XI87xXdFngfXRTTkHe+CkcKnOAsLGD627Z6xErFiA2o6WYNt6rf6vPwk2YU74IrwKCVrOcI4JW/r
/nH0K9UNe4xvRd8A4vYGVNQPZ9Z7FV1lriMVlMpna+7qQadv48rkKXJuFrz0PWjGFzEmwvUIHqmT
QtlpZE8/jqn3gnZIf3J8vz+N3gAKXeyKDZd3ScLX4i3gY1T5NiJiRNPLG79ciTZSZ+FGNabuuuYS
k+bR6LnLbLGuUY2v53FdQrSL1HqS+8rffQgxa5k7qu98CowKJ5XW0Y92J4VgByeZXbFZ2mJcRIph
C6ms10jRNpfI65AIpSAxuoqPzogIEmuIveWQeBNImvuXRxORvKMGqA6CTJTVerizEBhcR4MSb0Sz
cwL6Om246+zJWvVoUGw/DHh98iOg3nL42J8Px6BIlVOVVYmJnQqLDPajOhb9ra/6DeCk1No6vFle
ELWvVl419QfRFJu4tR9kvYtuRKuMIuXSGsM6w0DoLp9bju77F4iZy5QSFY5z2xp7b6yn0HXaBpUB
J/2qQP8OXTReJn4iKmJ/Yvp84EEP+m0dpuCUysoF3tNfKksOHiECgKv0HsVGi8wGBJHhHZO5z64B
qk6ThLnL3KRa395lvnosded1gtoBYTAwGhRdUNHSjTV1yMbO8WBvs5sut34t8VADgXeZuNvNAWVX
jq7fBeNeNKemaAGjmaErmpKdaA9Z8TmNk9ejoYpUkr40rYOWNDGom1wjaWPPvmVoiUb8ZZG/RmId
x7K5L8wNQMRLWz9oEOXQ6ifAmwNElGiKjRaaETia3F9/GFiaeLfo28AwwQh+1hQbn5xR87FKsSk2
DejYGwAf101fT1uq8EjX22FwkUN7FY1F+qdRMVfHkkfEJprtP4r5kPs/zhcRAeK014jlCG/HF4PL
GoCC0fIFhO4g9b81AjS84goLvZUJeedsS80GZoaPkIDRf6+ayD9GM8Z6JaJbM7TcMdCGe7FpUE09
F16NrH0z3mcmJI808tKdOCckprFkMKqba8umjFZLxrCKxcfxNirOLv2L0YSU2Lu57Ty3nz+6TI6N
PbVqH4ZTAvUmLqojcEG0pQDAPgyBm4RzwX/uyeXIOZpD9ksMXYMqr90kpR1uljl+nyersfNf1xED
iBn/P66zHHv438+n7SbZ1QwUysrE0G7yWt11kWocGk/jeSvpOu1mLFmGR69Eu0lMLToOUICxhdRu
RFcvRq8xIryElLNRGgcuyTxFRIq1RVMacI9Ylz6CT01cjhvRKYavRxThAySkDeSrahXaYfx6lS5G
cD6rQtfGPZ4YG9zvQt0lqaEfwzI1gG5zzW98bnlYTNB2xPVdjJPLGe1NUTbN/vW5xhvCA1k+6ZYf
iH9nt4m9HfJGQ+v49z55HsD/DmZOpV77M5R3MEueQ7Al/9KpRnEQ80WXmKDw9VnzTUEWZZ4vBvou
tW9MdZS2UTrA5+iLG7AS5c2kGMXNXzXFgAgZUbU2qwlq7f8eK1ZKQv+rZaKIVpmPhaRJrtjTAa1c
97K5r0gkzP/eRv85Dj9YCVQwyUw72XzQxhJNFRivlIUAZufnONElNlXQ+e9suBOgBYmnIduW+mfF
8iGfUV/W9RSM86BrAJijR23u9tI2Po68S7uiaZRQ79FIkgAwT/mzqpCEJwuE4OgczBP9dY2JZ5r7
yAoefchKz2xifrY6zzE4XJgpfm+7vLAeas/ETXJpQg45dD6CJjupdq6jPmJll8jUjRskwof7CZkU
Y9TaEyJo472ns6lDCRXsMlTXVldw8RoiM76Z7NcJYpbY2FpynSpaYv5gxNHGAkqzLuwyIdfZjrtc
CbVLAdFq0xbkyXTDwFJv7vMkvXGL3KyvIWJgZIEVymzZsVDHn61vKEdSw9oFUdOjHAXyWWkbO3Tz
5xGu2KWZh8a2kc6KOewbzXJCjLTT8RhL6q9rpA5ZC3S6nrvimMvJJD5a3xGwmAIM+0n0J43TuCUW
H7vrUsvJiGFxgpGVXE9kWS5/VpzYOmSR6iOYwIudNr9Z2qHU7YH6w9uSeKVfLZ3KOIG7Fe+LIhzM
N5GI1l9jliWWgaVvWQa3n2g18TvF6374TArtGUKl9NTko7HLW73YN2mVPEkTmmUAH7//MWAIMbyo
fNIyQgpolOHJaAh5CTFAOTC1tVmm75v63BTBYlQEL00x+mFubgJPb8BYu31raOc0Bg80ePYX8K2K
d/QV5NIh8aDyVRXSSJom0s/kdrWziK6HZh1XWn/Km19JbujHAImnE0xS/lWlhE8lzNC8QkSMXnzM
hxMpITE6ziFiT2yqGpLUdeRj2wwb7Wh237E0M+FFz3FiOdEmidRChS6P0egj1+7HXQoNmo02KYG0
H0oS9hP3Ebczysz+lSR6egINXJD6DNP0VIOIcmPLU1wxqbYTZxO2bcizVWZJ+hmvZljr/QgDcHZI
n5uoRo13TuC1mJA7r6OG3FWXCWuAMwS8Z9468y9tGk0rJQ+957YFjqR0+fjslaGxcpo6e/YsbAfz
3HdwUaillWTA2W01GE2UDZyjgjvtlaetR5F3bSpC6gG1mnfNZVTw6v7t3CTxQ9fqeSVvZvan1gKP
0apQ4VnBsc7mrHZC+QwU+0jN8NT75Ub0DUAup/V1eJ6SdrmyqeYVdAhdG0dRq41dScUe+RR7E0Pb
fVHj6HMNxeAid6V616dlshL9Wdrp61QGRu7MoF7ozzyaKV+8qWyOfAA1TiVp/AK7rV7VvuPdggWc
HgqpuYh+X03LbeLpBokxDhLWzbbVgRM16Gw+h79pQTT86CcfuwIua5euaKY97iflXtZT/4HXQTD0
Zmb+CH9TG/RPRCTyZuPFjJCFeX2yRm8S5hOejmskLBI4UG/286ITqkGyGUcrOYPGs+6yUpJcyTe4
m73t+RmpUtEXvu0to9e9aMjPbYY4Vuibl4Cn1wPfRe1WbCCx67dG5OHaiHPg6sOAaI6RdymK1D6I
2CUCnXcyYQaY0y7xHxD3yx6VKok2ngzsP68hjkVSUbhGZyXfmyFyJ30cfvNxF9tMVfw+op7Nxv8x
QuhEJVGIGGaAm6gvQfjIkNrcoW6T8iuS5ODOm1846sCx1oaMJtjVRDkQLyfW/Boixj0ffoMUGicH
zdB27cwDYtRJbH40SXUepaKCFDK/07ybNq9NDXg41dW5ma121Y6Er1Y6xcMIMPHQ25K6HaZC+kwG
6xqhQfpZpSPCQ2YEJSqjPqzMeuu4gH+l9KycUNZtHtBRHG/RPt9rGaftyvmYb41R7dciVmw0OfmK
hJ1yEq2yDSc4ld0ePff6npdLt5sqypIeZm7CKLepycPlGtmRqW7GT5aarQUFGnlUXoexU1kLlrOt
WsrKNk35DEHRTQKlkx5Dbxw3qO7nJkwZZHHFJjBl+SgZ8wasecpVhF2wtboKpaD9lnJtpFIwj4jw
mdP+d7uZjwlkBR0W3ms5Dpdwvl4j9mVQw0kMXushLmQ/J6/Jtoul5wTuFne/Eq/A0dqL/o+unyIk
i7ThlIyBvppQ4ViLQDGwLCX2/LjeRW9LfQiL7TvJUdI63CG5okbrJjXWTWNm90aR8KKpx9GuUptk
Xashb5pyAnG+lfEZ1atvfZE6W7WTJ6wI8KcW3tWir3G6yR2kob6Igb/tk+e5MPygpi4xYkpS1b3b
joOyFoXHRSD6WrZ8V8cMcC/aen3/SVQtr8NX7eg/71/Lm7qGJd1Vc7rNW3Pb5e0nO1wjfrky1CE5
92PXBZtYguppZX9qxjPLOOvJ0CVdsxOtt9Bm5iJX8+atX6woWqJfRLzFi359Nkh6ixeHFKHOb2aJ
AFOBOCZvyWzywjM3dVdNq6VP7M36mWc1d5CxFTGGjS4hfP3XeY3dQwoSkX1c+uehj61NXsbvY5YV
G4TXdlSjfuCXYB7L0ri9fh6iieoVtGg+gOUvosp2DRNddmZRBXibem2KkQ99ZHy/en5VrhS1lzd1
w5VNqAsUtfYDQH135wMtBsOqrIQGQe2X6Y2uoxMqosQky+9QX5ilzP88qanj82upRAkVnL71DLpb
EY94SGHPvIoLcziLto89zrYbKSWKPmmOeR8I63rD1cq6zhbD5IQVKovk38BeawgPRT91Km8HKRu1
e7GZms5aW33tb5a+CnodJUTZX6WZrPNajFV7PxuHiQ3ZavRWK3Le2eCh4DgbhwVmrGFG/ZsIeNfd
dsoWOdvUFX3LGuTkwD3VlnVdQwyYmeKcVZ9HzflQ7dvxQAEl22nS+48DPHN8p/TaHZbFS4efQaG3
fPkcdY+CEpIws2kroobVRVNzeNaWfldnuNBjDlld5gDRJQLEJrLed4nQeSJgZeM68Y9rLcv/ca0x
b744YaQcbTVYWabx6iITKTmO94rXvvraNDmiSOrk6IdW/h/WvqxJTl3p9hcRAWJ+rbFr7urR7hfC
3tsbMQ8ChPj1dylpd7W9fc6JG/G9ECgzJcrtKkCZK9fKu4dhKML7oeA6RwUtGRlDXzUyET2PkbhC
Lb603qN9tOPcV9jK/B59ux7NMPX6ZFPOGN6PWJ9GfW29JgV/HbPEv44Sr3tNZvMdDal1J5z8A7rQ
xIl6eIo0jK+pdaABBXEw06OX0XlKdN8P2REdbbMBqKnWRTPYsod03soS+OXQDIpBB/L7pW5L6Uv5
SOJCdhsfxuoqfo1a9PnpNUx0Xh0lLlOEurJlRuUmNjlAFsDp3/NiOLdTrg5kokMNVqct9LAZyBwR
hswjuORTxJkuwAOZ4Tf7ZnRSH0rCkN2+o61ERo84OqUDOByjVWdZ1oK2KWSjbQmd3Wy3Gb/ZaAEH
Vb+FGVT9mqMBFJAh8IV9Ig1Ds6i/a80cSgyaTgztru+EYZVq167LQJE5QFxwY6B/ctPqAumU1cUG
bQbZptHV1JtXxeyv0QKCBiW9ZIk+JX/9G0yehuStUXKcvTc0PMHpUaXl89zfHPNS2ptN+CZD2xDZ
LXQRQdPoZarB1BVZYPQPBst9iXr2BkGm8kLOvmMLkOSxp6ZowwfF+JbMvIAQny3RhzuyxHsZK1Ps
SrPOVuR1Y2Gs4zBFHU1fIIL28XyBecnR/+0CKCZ+ukASiGADKlOgXtHm0h1dni0xRNqFhoULQJ+y
2DLPhj0IPINjH6lkJdwk+d6gkWNi4D+FEJyzkazyQGpRZc+j0V4pAABKH2QXsX25zYQ8IP/eWNgE
h5HzJZ8KdwNxF3ytXLDW52MBfhiNWRk02OV2IFsJ4RXQ25bbmz1MWrlpAJREngviYL9NpaFBYEo9
F3260Iv6WFg9pAm+TG4ft/Wi1/oUdPCqHokqOm1TQLA6fbi5yaammK8miUQQOX5fYl6nblEoRhZ6
ZbPWO94Osh/EfqgBXfqwx0AjHe0RRHurn6doORwm8Smm6pJxm3Xh9yEeqzO4ktmpNTY0ADU0ZJ49
vI7P9qbYkp0sdNbpOTIT7IR3m5s5hqAkOO1QZP1l0U/r3ey/LBpDEGsoRRL4S4bOKb2noA2IGwXe
dhyzt3mLQoUTffht/4FG4S8Q/QKeVjuBL2ObJB2RLf411terNTx5m3dA5J33M0MjVwA0BYfULhqk
dMr2UeRo4DONCc0oReODR7jxn5SHznQQ1vwDCbvg2cL9Ezk8KzpOadsemA0gJPSL7Ef8zeWCG535
t9FdSOdLz3Eb9j4nsozoKOIE0txZpdaWVEtVVNgVI6P91uH+vBhA4nJpxQA6DzPG7osX05vwwf0A
vki1zAW4HH2pqhUqKukF0ONx5wXK2DJfVNfAChvsfNCHZYegW9bkYSqR9+Mg2JffJllda4Bt1amu
XQveg0Axf+fIUBVQncALJPqDWn+TuaX9krXjOVdB/ldmZ+ikxNvbA/g1W/SYIoIbpv3SyuFM+bM/
RXys8R8j0MQWLEt0Aa+CPnsGL0VxT0CHfm2iuvXiKtGiAYw/EaCi4qa3H8GxNcMcitoG1BNqGBt7
BHtVD77dbW2Xw7KqHKhtayREWibzojS/W9GiCmhJWpQwFGjs9OdFe0v16xSiJYAW4zXF9OV9bDbl
EdoG2IFAnGwekkg98cZaMCF3AoYV/bpDdm1qU7M80hIf65AJgp5LPzUs/JlB3+8B9IjGK5B8xMfJ
Y9lFaCG9nvPyr54DMdWF4ZuazGiVY6M1R7idOSw4QDohkHYbT6RooPrIp4IOQFyqOrfggIycovzp
zeiCBxsylwa2LjQbRZtmwcD5oB/IsbeqxgnpNVUUl6IGlyjpmvdNOgJQ9W9H6xnYS2hHjIzaPCMb
QnyLtSNOa+fIbPAQn0akqopKmOLxPb8jbb/YjChQk97dKhqU+a3LXqEUWvyFTJ+5TEI1nS3gm45o
YAdF2HtAOSTrNjeA5zPSYKu6fuOanX/wVOT6K6RLsk0JIkWgjKAxT+7EYP4hwb8H9EPQq8zRerfL
GZrY6V8GmPXaBvr/tR/B9HGzgxtn7eQZf/1DvKftLAkrIBsFuMgq0HvkWYtfqc5J0tgM4naBsrEL
QTvkLsLaGheOV3SQjG3sV4HKS9shCYnkwJm3fb0glk3wrIDSygDfIQ0dz/nvkxrLATivVCckqSrQ
3+qDAZ5KwAuhn9FNP23akUKmDIowErAn01srsBvXVtAcU6HUletDObprUVdgd9cjOgDw7yQCL53a
Eha9eelRK6YRKB3BxwFkHySR48PNlI5tcZCD+ZVMdPD6sNoFJuvmmSJp+a5s3R+Q6OkP4P6EjFE/
ZgPEQat+CSJ0FzUmWSPfro3koUg6m8Np7MTFjzI3TeBlsvGILZO1bqZBLghraUl03+C9HB4aUwyd
0QEsaeAtyI43M+h7AeCs+/59Qisgsd1M5iVjPqSMjC70cU82GP5yfRutVRMHqzSz1ZMYOPKobnhl
JrBcfKzBHupZxoGckzRNNFRCaJ28Aeif7iBaHS3JG+BRc/KU/w2dxerJBRf0I+QAqrZt+2XVGpdG
gluMIisX3dmNKs0drcNa/HSEK9WavEz0cm+h3xVsmPhEwHGk9ymr97QsRQAJCcI+o3mgUVKCiBJb
zuZIqyFn1YPEvlGg0fKgN+pAD8+1BmzDJs6eIzSzouCRgCYKSqR3El/knQ0a3RO6snFrbuP6qQE5
xsKUUGar8EeLkPCJIRckVmacjnd9XAJwoXOq2E5byyThDVjxMCxYxe0F0AzZCQ8l8LXUDpptDMdf
pV1qLfOo+CWQ+xABiJpiY5YNVIB1Cc7QJbhIl+Zy5IDCYezOZCKnJ0BgY4aO3FAEObweRE40n2y3
RSy3B0a36M9kN4UhIUkDzSz061vHtm/Ku5pH12gyHFB/EaVVXDAQWVngSJ2i9K8Cz3KQq2gPFyFO
oQWTbTxoBy/ICO5mhNPpHArqynLd9yhLQZ56FYavvOrU5ZYCUIaDtoAoMe4ocUCORDgjhLBFu8IN
1r4nR84Eat6V9QqCjHzvV1WJG1/Itk7Rh+e6g65B4SYQVIimaWm2fvrayaBa+FMRfWuC5iwlEvKL
cXqrseHDX7Xq0EEyND8yp3hxZVa+9Qb+a9G/rJ6xHyhWvMzFtR8qJAQc1zoFfJzuVOz3+8YMJVR5
2b+uXI3O5yu7+soGr8+1qpBnqfI3FO0/X3nos5e0LsxlWjrDZUrKDUjMwMY9OcbWqZTxzZb4nod9
xkCG3QZrUPyHR/T8D3vU0a2tLVPzPgOh2dIXTf3FFf2rBm1j/j+gNkKlc8q+GZZhvsaDn60YfvT3
cR4ZW/Rvp/skS8Vp7NJp7YZT9eTzCITR3LG+Q0jj/WNY+BhGFMffextJwN8+hprCf32MxAmqXz5G
ixebk4335GU/4vfcSMhXoAhRPIHVtbraHW4reuSEJg7A8pW+Ks9kwtuWWIXC7rc0pOl8AlaJhp09
ztPR1+2LpZ6KxgD0mIMU2Z+cZDXY3H2MKqu4YqsFYELnPkJPwH0cYp2EgQjSgWxtHGvUr+a6Asnx
IxBGxdWL3qdDEgz1xMRFNsHpzWPfOe8Hoc8ywN89YwC6VI+8ZJiQW8ltJE61B+Q8UO2xzJ0JlsoV
6To4FrILKIFMR7DBQlPP/IvMUBeFVIyOIp0aiionpY51Y17x3hItk7oGH6aSTnscNIMKHVg3DHg/
Bhl0AvrH3c0BaQREmx/RamzXVRfdQa6zX9rIn+2oeJdn4L4Cw0QAMlTgrMkLzutwR4W/gk2Q4w1A
L+tF0XoGDkyS80UUyWBbJVZrr0jv3dJGaCoEWxJ2J7F4OiMvA4vbotPepgN2ppcdVNdBEnaZuP3E
iKVWj5RnPhGFLfn06ObTkeZH5K/zIDA8R9Z2a6ORDLCwSLpqnXXgUKJXwPltkIxjUkMnRL8sUqmc
DnO009no8kVp/nYIlaHWqsbbr+TeXeoYNkAKiXoDsGtV52H2qpK2Rqsf7MRNmyUhmCyafLYHSjOM
BZF60/ZbvMWcH3h9k7iHIfcyasZ2OnQZQ7eI7BOk22C7eWMdV/jdBLAD7RbLvODn2MKDq+skOi2U
P34JwyhejXbB9lTd8av7aVLi9bco6ae6trjPsYO/GvhP620PhYsg8Z1VUHIUOLUwq7TFeG0U/kup
rDEw7NmovDbahn/NHdN+BMvO2sDzBpopbn80cuzXSKmG5RZe5xhHE5HWsYHsSwloOhcH8na5u1eg
rXiIY+7QGmQeIC165AXWoCVt5MGAR8qKRcGrDApWPX+sVdOAfgdApcZO+GMF4n6QtQTLaQT77LKx
B2gaRpG/aRzv3ZthW01TyfSn+TqCnD4a7NYuNGnQO9D6Xa3/KWImMPcrpzninyJmznLT5e2RvJOu
jJMX1XEEc/Cb37z0a6Ih99nnuX8Kpt8a7mrZUR7KxB+XpRcaT0as/nWmRvZukx9nv8UZKbTcR9GO
W1Fm9oGPAUh39JcWOIgHVY/q0R06+1D3KoeqIb6cLei+bexePtnpyxz9jJcpuECnoZKeua49Hwki
kJgcJsHZQbHOW0ES3l6Q7eb40xC5BNYsaN7NbZeTt+o4FLJ/c1h6/RxP3FUX2JD4Mix+oUNR5U/o
X/WBePxpojPwuoVLcMrn64r0MslYpwK0KV4ACrRfoxMOsHvufb+ZbRUntysUfvV+Bd8FdkuzxoVL
FvN8TTNuwZ5RPMay2BkGWDbRvZQummJMNx1UPqElF7BdN5nN2dSVXoMX4cHsATHQlV48acWDQM4J
MgsNdFt1BDkK4ews9JDNk9Be3K8ExM2UNUVnyJF2CyMP669djXKkywp+KKKhfoUe2WxvFVSKIEjk
rJusbb7WeFe1rKp6sMsIbEWFAtJY2wc9HR1Q8W16A8nVx9jrXyByUa2gvZc9ShPpFjojm9Q2pW10
9n8TZ1RIL5QmuKbHkVvL0J5At6/vaO52GlT3xWFcHZQJzDJZs7ywlqPEHaXmNvQr1v0EEuwQIjwG
CPI2rUitLQldTL59dq3KfMiKMbtPBPubzBQVJIG5LR1HfdFRZuhv7QJ4mMpwHvGuWR4sFzcB1OPd
R7JVnK9GNDlebdd2H1MINa98oK63FEETHIV0pxaAfSSbnjB4YG+d8wABixOA+LI1WLv5K+DS7S4a
WrbmOvXlw+527md7hW3Rm47/k11OOdRnm2jBR96fs1IGm4wN1boqefEMGkP7DrqU4ZJHXfEseYum
ZT/2F0aIYTpFSErUoMekYMsGn89QyDM5szqdHjKQkMV4dZLQ2VoVccWeWC+Tq/Q7eTdkXmAiDed1
+xoPy3whrTjaOfbWcoUY/iaHUYHu6lCwsdvP4ZDtg94MRKiAnmrAwjLV49lJqv61W3mjI19NQ3QQ
nBrzBQ3jutcMkwZkYLUXqqQ1xBXQykLDYoSCWezKR1Smw2vQeycy468LhqIYIPc6a7FkABW0AkIw
d+T1LfUWOarbZDn2d7fHLbIjuVokyJBAC+DTY5ietreHbzSudVPvpwDycVJggXOCzMv8rKaJDDno
BGRIRwfs7thDWnIz6Cpb0Y/dQzJFm67n8YVMvRlA75i3f5OPTLdJN9uvk7pxag5WL/+m+P/fSUkP
tBjYHvDRehEgT+qPlzCNAfWohbSb76qND0aKt83HMuqqpzKL/rH0W1fjt8kiwMvkCXSC9jz0fh2S
9xaMjJU43YYyQ8eZlcfNKjR2kaM7i0c7mO4xiqnPePjjyPbLciFzr3kAJIQt3YKza8AstYGsdHsE
EdywlwJiOaEfiAvyy/bKAGDieWogpKGqpv0eNHwnLOBtFxXg3OAngFBoYX+H8g7/4jGfLTOU2+Yl
B0PTPvrl+5JyAmCpl+77kmgpP8b47iadkF+Mig2gZsSZQg/eAjoH8kspcE06k9r2x7jKnkATG4Kw
dDl2Bd+QNliEtMrJ80Fx0YA4eU3Dtm8hFA6tTVIKI82wumD+6cNO0mIeEhh4GGcp3gVPQQnZ4AVO
nAjPnwWkOuaTz67/EmMC8LMfpsTexL3dr/jkR7skDNUXH3LWvazqF2FV6SkHQ/RihK7HFwpLkszY
gSMYOpuOv6jZEN6lGYu2HM2KKzQmO+tE1vi/rvOpX9lVDt0PGqvO6UEr4jjrEaJC0AX1prVt+ltg
mf6OXBXviLceoKvuQmcf9puJ7JNrzfFEcU8mVwNGRtjxVI13ZCcTOf+n/bf18R3/9Hl+XZ8+Z0iI
jo+1JXM3IbraNpbhOfhC/jwMILJVrL/0ZQbe90YGKF2U6ffW9qNsDWw78j9tD5IRPWGOsacUQi+p
D1WYFHfpfy91s3wsN09PQenrjQUUwrUaglO5+lsk6mVoBfmGbKSd0IP59Cxzc2EPDLzYeJTaTmzt
UBo1Z9yYDHJn4YqgP/lgmX9OGvv9AZzW72EzjEyHhV3Vn8Aa4j1nP8OmbvzXar+G0fQqivFf7OHb
b0/YGEOB6dLVLjTp7ca/JiJxrkB7SvQP44temce8A7MFRQrH7u48zw7AlciwKdHx7ZSA6pC34Lql
GGW43qIVQNMx1FjmGH0FsC+7n65grubwXEbTEbQR9xRNy44h7lv2XBwyxbgffaBWnMgo7nLoYL6Y
NUoSkR/FJxqC6m/bFl3yaECR7rFQ9krpHtcstxm6nkS1oOE0WfYdyJjN2ZuPHECYsSzvyEtLcghu
nGiol1Q5OPloyRL0Onkfdyc3jkCLYoRIVvAlo7yJPoi2AEwccnBHyqX0cT1BEy+JNzS0Mi4PzIRm
0dDw8ilG3ejRyedUCgW0DSifb9OFaMxl6Pdrq7OhUhin4XVs0KrGtFpoLQfQTvgdgMb9APaHf0fI
oDu0Ix71v0UAOYW0uC55/GENH/v31ZjY0IfHO0vB1kDiIKXi2Q6Ok6bdH1JjQ0T6s232g1QfJPtN
CxZYtzSsrds4qEowsJqiDtYcfRqiZDIPCWFDmBou3dl0w9R8TCK0DkV9mGhEoR8TGdoRjjxGK3XK
qkufZwfID/qPgAb7jz5jL2jjak8gifUhWd4Ea+S3xzU5O98ITwopq047yVSW+bnycwZWWszOEjdd
o6W+3dD0wBQWdqLt93m2ngQpjS3g/ck9mcxgwEsViJ+39AnGIegPHHrAC/LSGgw1uNJkw5VMsjbQ
QST97I4+AtS1m73LPBMAkJ+fCKQ/UP0yHsjSmQVUn6bvUZoMO0rACRDkbqemr+cEnkzs7owH7ZWc
9CVDNRai7ym/0heMZx3aPn6dLoq6XnGPgb65zIJdgucAsLvBrgub4sllaflU4D3JHrPxEjc2vuMu
c5Yu4+KOnEBIT3c2iBKWNOFjOu5XBUhclb8OvCo92/YjgSYYHkIrQHonsO+A7z5rUFRu5Zh8Bw3u
N6+Hvg+IRsJdwaHG6Oe59YaJ5KeJqjaClZsCNFOuDDNlO1dD8C2jUXcoi1saeiGuqAu7i6hu800A
1gIJGaQvfZbYYDvNUcHItZKUlnLRdiBr2Sf7r/GoGZ5Y2PJ+h9blERDWDEgFnfn7LQdY+0m9tBMU
NG6OT8nCljKBvgSrZpngHj4MFbg0ZHSFild09SxUWfB6HG4HyNhewRGAnL+H1i8ZhEeKYFFq3Y/9
t0m5brrMQ+5p+vAfkS+9dOlqduBWL0mxtAYt6TYtNPv0FZqBIXnbQ707GtD0pnd2uC95kPGLux0N
W2auOFhhnxPsPPDa8u8welQMLhS0w6L7Y1ijVyMg80eY3sfMq5GdLmr0jrhdlFbrBzAqD5kEcALC
ZNtuyrIDdMHyQ2EZzlYBhXDhsgKMvbKCxz5C6rphbvWVJfxrwmX9o0mhd5f5I1/YIyDQLa9+9GHz
VRm8/Fo0ZQppnMx/VAw/5trg+QUCFe9Xaazx81U8J0nXqIO1oD9+a2zznTUGStPyAMwWccR8MkMb
cqaV+ZONJmkKjiC2ILERBuscubdHiMRUexclGwjzuM4j2WLxpZPO8CAtPA5CF7LD7QQurFs8pK8A
aRQm3lJbq73Oh9ehmyBaWjn3rhq9va1fVj1gNzZWplKUsSdxQbF9BNr1V+MsHk9GW0ema2c/iiD4
u8rMowmWk9uJ71mzJfx58ktMlYbqJemaN3pHprdlelFWA8TmRWTuyC7D4MLtANiHfPrax5AduKV3
KQ2s7Q6D2LnjxRvqPFDypY6hVAGpCGuVoM4Iybl0OtuRMJcU4IYvWdc4S16iWb0Vcb4UkxlvpsR1
zgYQt/PBChk/hsJZD0WE9BY5KERCbmlZ4ke2IduA/r+V6SYxhOl6cRkk6EI6Nxs3VSnw92sqAwlI
ofZ4aVRfwJ7rQ6LSNfa9HjK2acLRf61BXnNwA6j3ca0dbRWTv+wFKPwn3yjBhFX/qJVtvOmTIKvf
Tyzw42YCgiCuhepiaeXWSxN03Yr3wrlIC9oCWZsUexQMwOgQTeG6ZlBFSK2oXOY1yHdiLU9X6rM+
ANobQB6MTQtFv3Q0rfV/jqFAOqQp2E64jr4tRme8+FaWXYjtln2kLedQ8emeGdORZMiylKl77aMd
Jvlahm+L3px++P7bPPChgOV+dN5ayDIsQHzEH7kdBRsVAGMjQWN4YmmYrPtGWC+V0X8rqhFq5gl4
8PBW9xfonu3FqCcZ7OckgG/HExp6UjBrGubLNI7zJMiqzpPaCgktwE2MaMgOSeMay3yS6RI5p+wQ
RyNI2snTRal6PyXXlJlIoLjFtLdHFNBK3VZZGWgETywIr0MLLDmGERg0jEK0D4aT1suqFvxNFfLi
u+j1Wgzy2yCC7gdapv7hgRu8+LkNHuZgdC6Zb2bQfRJ8j79sfcqUzdbCCfxHlorXJIq3k64f0UFW
KgS2hqNvnMa5jXJx5o57iypQn2I+3Dzgak+jzoTifKfCaUuQoGqETvnQIqM3I4Q0fAiULH+2CQ8M
FCRKTcEUN37MJdQRrUdx/3E9t8U7epB1R/BvoD3F9I3VLcMyOOYTWNKBudFJmtIBKLByPVCVaXS0
PtCkCNpO65ttSsOzZbw12HbvkyCssUs2jRF/w3g1D0dZeBclixSdu0mIdAGIkxJ9IAeY7KKF7ZZ8
+ykab8urVuXD6Rbs+prYO6sfP4VByD1Zj27Rggv8FQQx4UlUtWsvOuQDdqEdvdaMRWclsG9ZAX6/
8WwwkM0h6LmaFmkSGbi7qGIFPBFEDW73p5HlNcis13Rj6sjuqN45l3lXrKQOJk+UowK3MAUAgqmY
g3+7+dHqBbMtkC2iLV2zHXqaHjFmJfoy6dQk4sObi4zSSh2g+oDN0FNIA+9THB+siq8o0E0stAfZ
tW/vmCNn27yCreq7FjJtDl8UdQG5Ccty7pNsau7cpMt3pe2qywQhSGjEpc3XEXKPvhEbPwLZ3HkV
8986vxiXNKnw0uZO5haYR8JeXWwsOU8qTO9EdwSn7O6QI/LmSRFwbfdhqtYMCn2LQncqeLpTgQ71
2CyRtApPtiMt4Gr01h5cGxz0V2g9ACHjexx2TWAuEXUDvDlSPouPyWaVyC300SBvjHLOBZjh8VJk
sjkxDwr1ghUexHdAgWImrdpXoXmlkadNdAbekvyu93R7gp5Ki5CjNOJsY9aA3/lRW76vEuZ5t2I9
MqmJFUTJunSw0RwzBkLC26VQW8KnAYLmjlYbVXoXpak4C5AqrINAJmv6RVX6Z2Um5SOU3NiRRm0U
dqey6cH7Bx8dwsaUaw+Ii3Vahe82dK5eo8oI5t8iumrLUz3ZF4qnnyLI48U65rJZ3xaSkbi3IVt8
onWQHAb9hvJTJJlAqVJr/isrS/4RMvXv3QHi3SICaz3Zhef6S6u12KGNy/GZpXzbqcD6mksLStZl
q7YUlqGEnlvY2LfTwPb/admJGfXCk6DhomWLSJZ7m2CBrdHbd+gajNaFO3UbYiGjYYrc+qch10Oi
LDPbJlrfvJFEUsIs/4nxWHgeoCm0Fxn+lTR0OLLllRegEUF7U1dzRPIauEQ9NFNgD4Wm6achSgbJ
Kau7bB7GSpqnuDZ+zCuh4nFO4/IbjWLhuuehM1/8aZqeu1J0FwM6YuTjls3v2zw8k28EcvG+VTY4
A3BFMGo0V7xg3UUgWHlOjMkApkhtyFcMzHrwQBhI83q3bx9VlyzJV09x8uQV/9T45m1lCqx7H5XD
oyzKDLRc+XDwNLkTYMP2XcqcGlo64IuaQ9BN09iue6VRWuYMGMDE2tBwsIDhLrPwTCOaVOIFfYEE
wXCgIS3pB/3Vz9InpWlP8qHNHgydtS1r7mzxgjFA7obXuxG9+2cKQVGGn6FBsbtN6AphbtEIAASF
XoQOfZGIeZG4aIadDejyAgwTIUrZtbdImxBo5tpxjAUzXA6RLRGunH6K7uu8iu7RLZnfJZA3WpgU
0zC02ZV1fyYvHShY7csw9u7noKzFzaXFd2BeNwvBlGS6WXx3m3S7VqkvY6WgsA2z0l2h4QoYkjA2
2cHFH+fjXaCQCdDaNP709B8Tla97H0nwujO3aZ8Pdx66hR5j7v7N06n4qzRDVA786rkAXdqfArLW
fw5VVc8BePAOd7XCpkuvkGOz9OCDR2aReNC0L624Pvm5Yb8ysZmiInmtm7E5j0kMnLY296Xk2wzA
8Q2KUfbrbdL7EG/rKTJZ01Qd5ifjyEL8RhJeob0P8kifDn0EwBsfFFR+4Wj1s5XOIPPun7HhSewx
XJElZAzvOVlVbaO8hBqe64SQdc3F2hUsfRYFXgWTLu7+rpCrMpjj/CNQxqp9lX51OyQ1cuCzsdPu
sT3E6/feqls02+npEcRu5ulTYLbPKHkM6zTH236rsRCexkeI1sHj0u/PNPJNsClMXSaWlrKA79De
PpDv3jhGu3zjVkBM6akf88NgLDdmCAbTBBTWyAWgEX7QPSq5DVoV/EAeUbcPwBWFvcDgM/Otl0/k
j8DttmJ2OB1oYq4ndtTcMo1PTZ6ova/bKpouKM+uPqNh7EX4nUbD0ZqgtQ0WDvAzNpU8UhhFTEZc
bbseZLE7gI/6ZeAWDSqeyph7A6I8rRaJZcp7awjqM7AvBtCsKJ16sq7w/ay1OOnPGXachVcQAoLD
PHf+8kUgDvRw6tskPEMGbdtxPOmXLYuHDZj02tXtVU9P8GTeHcgkQdO3MQMbIGmkR0XqjW9RXu9A
vGP8sFzrCOHS6asAs8DSR7//BbxZxp3bm8Md2kuB2tSTfBd9i6nZ7KaRV5cpcspFpkp+ynVXapYA
Hi0hCTSPPuyucEuxKmSxL21wKd5IZgALha6P0ftgVzXLPTlyfL3WVe6gxs8iKLn2pjo1YEh77f+p
pdW/xmyMwZELVrSwCe1XAf6vTWrJcUNBYG19n8O8xnm1/nLi/E42ZXLtG5s/ssIGMD43QV/Vpslj
Lqr2iDvOV3JOnNcnUFSfytHLj7bK8hWUcSGwqIdhjyfggk7pEBkpbmHao8YMHh/CnVqox1uTcXC/
AxKXXx3lN+cc+NFFN4TmF96OxqpqWLmjYYaKBdQx5XNm6S0YcLYLDmaYL1HajMBWmMHO50F6QNep
t8Tr0KLPhHiZipifTEOFINAFDABCst3KqIJ4X+mhDhM6zIwbfkK+EppocYtiGFBYK1DZ8D0NP8Is
vRrAYuBGI1DB1H5HZwcYturqW+ghp64z5qnZSiCt+uA8hmV1REect/qIQEkCLQCplEtPR0QdKOUp
AppE1be4eV+DIgwozoGLCBzJuCGZDx2KaeupQQ/IWDXWA1rprYdchJsWWcoLRRRJagNxEI4LZKfA
s+un3rTA3UbtKNix0ZMtVAvMFabSjFaviXRku3YqORXL2jM24+B+ZdDU2mWgY1p0mhnGnaL6QEOI
1NjPbi/eh/Gokk2CVuXV2Ajvri4hGEZ7dQ//6jtRyWRFG3ny0pB267dgp5PRAUmddEFVrc7pQBWc
lsMmaQMDIOWi3wvHDg4mUFtzdSyLQMk1osJKE8hOpbNWjclWAQM0r3Sb8PuayBRBlXCVcbz2sBxA
N14M2X2Y4Yk2Tv61iUqYgCE4jCx4u5mG1IMkglPIZdzlfbr0eSFWqdFlm3lcx5PmLE/s3Ty2Ijx8
m6o80xJV4WX3auyxP9STgbeb18/RYguSunGfJ4ciltkRbzvvhylIAfb5fcyrejgU7YHsNKOLQhs0
qiZRzdhnX4PNpyGCYLCPXko7MtiCbK524L+/WpYARa1vNCB0hjQ6yqhA2vGkeJxc5T6NAjAZlVx6
YbhPZLGNaQf6iP5eaNNgm80irXv/QBElKhKrVkAJrTVaD29UaJUUDTikaCqHlOwezVjhgoZoibXO
/+NKvt309wkgLi2q8GGfu+iUnpri0OlDMtoY94oXwAxNxYHOyF05/QhyYnsEb+PHnJjCyU+R9VSD
z+f3U/Ib7dCsIaWVbJ08zlakG74rdHdYje/JirWmPPUA4J/cPM9Wucnsw+hVP0SU9UdL9u+HOHX6
I9m8APx6rpMfyDnpiB5sDcijfYSQZ0QHHSidwatWGNdbmWoafH4wVfNVfHSWOygzkInKVHQwOlBU
6igaUShNnHg3T5wrWj/Xui3/61pk/7jibS3284q0MitL+4BebNw+cTNqMnTeEoI3+Bhiu8Oe0w63
lZsXrxOfh+RFQZznrD05riFPIxPRDo+2fcdSIHbINp8GAKjsUsvak40OpVejn1kf0GYAktJX3mEH
Ad4u4atnA/D7IDVe666pvpd28Brgi/AdVNDzCfCk88kvLjMa/RdIZey1u9Qz/8cS/+cxkABDlxf4
u9du77rHZvScxf+j7MuW5MaVJX/l2nke2nADQF6bOw+575WZtan0QqtSSdx3gtvXjyNYrSypdfrY
tLXRiEAAyUolSSAi3J2IHtIgCVYVdGondghLQNmlKHR2avAnP5nOQzia1vOfBnmOWU3sEH8f1EeF
9exbdnjoMoAvZar1Zzo0oUiglTm/WUYE4s48VAvyOFCir7pis8wKY22E2KPyzhg+DU3kXPPK3Jum
bA1wdei9CkqoT1AxvXPpBcY69kAESzYbGcpZ1YgM1KBZsWyBqd96ok6eBm1cZ6WJolZl163Yvdk7
P/+wCzC2bUvU1z2xHHvIn/ab/6/2vAR+jbJXU+JLZa9AeQlN5mFKlpWgrT1It3q45c+S1izXLXP6
+S1/1iGFiShs6KxuSTFp+y+Jb/d7Mk32YJ57QJRRzm3UvPgQWMXD7aMlHjjrsgyG+W2ayms/T00d
g5FMU9NEOqicz5Kb89EAQrDmIwKDCUpSTknB+Vyr6hQ4gN47TT14Qg1b4FoeU2Ujv8r0oKCICpI1
zTCNpQl+ztKB3QeAJjXpzwOWp9NMN9NtzjKM13jfiD11og7sGrFEHlrA+Bd9KrDiVguZaeWBF18x
2EjNKpMDnulNngyg6lJNWq6wzEeurfPiPdm4A4IDFIXfUefkpublSIWvbrbM/HGbVhucz9PSIFdD
MCvq6hj7KCyDaNoWjNbUSYfm57Reja3CUGBV1Tca2xYNVna0nnF81EFQk9Yz1ORO2wGIhNTErUm9
wLLhfokPjo9dTwsE8drrx1e3wZbIF3p7AKE41njUFspIZ3QIvQwSsXG1pqEeWNbx2lBDqH2bwctB
8G+11fU3+zTzpw8ZEjecCSfrVghxtNte+Pem3epfBYRYXY+F31IZtfOqj5wTBH+bA2g8ACcccvfV
KI/kwKBKPM8FOOXLviiOGXREFtTB1xY0pt6g7FwueNmFRzfw01MwovYAqa3wGzcf2sIYXy2A0hfQ
sc3UstlbI0WM2EMN4U68c4evqW7XszC2/HOWcftEHdgCAFuhOjRA7KaOQgP/smcCR9GXO2EEoFZk
qgSqr7sr2bqGocpuaIdricjgyvK17s5LAvPOqPRLrRa1EVJJ1OoaLVhpYMyHIjBEHn0hzB2iKlsC
tdyALtSEujPbgfx86iR/stNhQGppx0K++d2upgU7tLbLjWbzyV/Z6QPiUQv2AORMnb8NB3oX+WO9
my7vhrchN5REZvuxSNa3aU3U1B8jp5uXWt0fOUdCp0dN/l3r4XUNoFl4rWMXZb85FBv6ys3mhm0U
z6KuAOPrquSr46AKoOuyb24M8qSMyx/SzhZxnAroh16RDIqwS0nqeeFa3g+kzlDGncRvffgOjF75
aEs5LAM8Gg+lnuV7A9nV1ejYWFSCfGDmp07zzTL9uTYm6Q9wcD9JNtjPrtYjuI/I+4lrur7NbUD3
BfZklyhz2nnX6MbXwW63HTeSH7oYd3Jwy68o2oRAF9gPhaxnQdeO97qZRWvPLuNdKer4znYCf2G4
bfcVlfTroYiT7/oQfJFJNDy1XT9g92lkB9eQ9gF3dr4UrcifhUQ4ULlazbgNhRPsyypk88KPJCiw
Wb0PHWO8b2rjHjwd7Cs0mqHm5NnNAfphxRU0bW9kxx+DqExbdscMtHWXqg5QSB06C80FuA4EmP5J
S7PwWBoBNvuW1b5VbMmjMPuG4hrIZCkHs+bDGhjKYBmZcXYG+CU75x4AXgg4FIjXs/RsQHvNmRUp
rnhM7sgEDJeGzHTnWsGs1/KNrzXRqlNFH/in1i6mk4QzhI27naXee1OHB7TA6OVnagXcy4+pGRxv
g5Icb/0hCEHi+XOiDAnjBW6maKVRiQgW1B8Tk48IjHqWOtU3InsbFR9nEcth36SzjCnKt4n4bTqS
Dx0+tYveH/c1al2l4ewgYTNjHCweeWKdppqFEdIYCA5EK6px8DOzPgKg8USdZOKBcTSt9sO/RoU7
0mQ+22uVw+ZER2Hn1Zc8tI2riaDZ4Q/2tsw+2yOz+cKS+sO/RAHQnNgr8Lv54nqRee19oKmmSFbm
tfUHvyuSIAfBwQ1KNQkEVUvBv9BUDbgnPPuMLyZ/bCHJtGkA4V41g2V8GfHg9aUI3vAKA31KHWuH
QbLxDirVDogyAEhWI5HTzR97NbLOERjyeTGNJAfmAQRGIy1UVNzJCKLj4q+R9Jm6QIkijWSBo3+p
UXxEDljpAXvhL1O/sq+oEI9W+MdwD10cgm8Y4tUbq7YK5AUCC2rhUocetQV6VcuMv0G6aDUUYvSB
SQyW4OgyvkU2kIWomI2e2Kh3C9fszLu887V1O7bNjpfNcECeHeLjIi+vJR7zgOe12QuWEQ9ejOLe
WXAdZQXGsEIUSlXEfqk1PZv/6dpGaf3t2vxC/3RtoaZBZFdhvwi6FfR1Oq+toNlN4CzVRNV8syPY
V21qV+BI6m3RxXE3Q2QVFHIUrnMqUS6tEIwBk5Ejbbt0+kCbIY2dYdfaiFUPMbN50Hv41slY5yHe
0T47jErFq1eHTOpiVfsQOxdFv7Z6ke00lIQcOy77I53RQUY5GMo8zhe3jrL03sJa92ZpJfqVFfnW
1hFFcHUGBWkbQPWLypMDIJ7FM3kMtmUiv2k9Av3TzaHH7u96PEqsW1r/U4x/OiWnEU6UAhBRyFZd
H2DbDza6AcFdJhxgULxkWaqy4tqqm5nRoDKwRVnQA2cokbbj8Qu5eTpoTllRIALXYq8Rhk1zapRb
6wPLp4b/ya3Hnb/OUIoIGSshH6s0XQPKjbwe7ryVyYJxnapmlxTzCLohz3FW6rvY5JAd10b9RWf9
9yFynTMSzf0d2LSBWFf+luHyeS0FMldqWuijr8l/iMTHtDnixpsxBbId1Npg2F05qBmbI7sYbmlr
S81Cj6LttPFVvUBshJ+aiGWG26jUkYkugS51qHDVD1k7M4yWLd3M1Q+Mql3xkmj5CvCM88cnQp1m
7zeI0ySj2RwAMgG9RAqi6gMEOj1z5RcAleei71bUTwdNhK8RL8x1n5kSGBYcwsxvj3ld5oDyJwwM
Mg7vZ2QM8/rDx+JSzou6RvZXeVOHFH4P/ksoLcQFkrfQWpdH2XkoJoS+1LzJIdHYxajmR+oep1h5
NSswvjUzB6HJfkbGSvXQmYNKmW1eirubvTBMUH9MvdJaGAUKDXusDBhe4/uabjTcQsGxiW3cc3Qa
OPeFlURQOEPcnA7IUSUdQrp/tRvwC2Xg9SfLp5HUHuPQgGb5nOa6jYGQEELx6mCmwlrafcKTE+jB
mpUOLvBTYXjWUZePhir3ogOZ6WwMOmvOoyFbhlipCOxBPOcw+umcXGKyDW5WQb8nsJe3GapQf8Tu
JABNnyOzmQZVsp2rDnTmx6zJwKTAYcR+zl2StRkrG+W7yosJG0rn9bAhHzLZLP9rNE15a5MPNfM8
Zfb81sMNkS8MDkHJqkPCqMvCj0OEaGQFvDzaSe+UIBzyv0+2hHrInVUiX7Wp9oMikJ+ClHEYQuUn
AHl6g2r2A/aOn6OZvwU3abDD/Ect1J5QBW0dTQ38gJ0VDFCKH6JjOSQZuJekdgEIzZyXTWAixpP4
MzBGZu+9Hy9RpJih9iOEcA3zgu8yKt9ynzdfqgF5e40H+hULHgfck7WOf8c83uKl1YIFpwKaX8RL
jpcr7geW4buIuuEwnWqW1HZGhTVVFpdAEqkeOvAOlVkDaPF67Aab0ARoD3QYLyi8vECss7p3xsI9
ACxYzcmuSZAv5lVQ3sWeNZ5d1mP9ogYE4ApAxihnexv44gcnh5xup2ePfj5Wsx6MfAc6DJ2WHnR1
uNmoKTtZz1lirvIRBeFdVh9r7uePLqpgr7XjzXWzClDXsqh4ljyyvskfEXlFeWMhr+To58kJVVLO
HbWqqHrvs3KYJoFeHWhVkwD3oZozVxtaPIi6LTWTkY0L1ALZa2o2ToH0IALcK2oOoVdjN1Y5C0t9
KLhCwy2yG9acepGJ13ZlDnoL6nV4Gx6bBitU6tV7s7pDyOBCnVi6hrOCDfom1TRrBNtyXAGQUe0a
LA4QSkpj74jflnekM60rvoAvu9uYRs7GmVl6LQLwA5jgjRQbwxTKzOqMDj5UAXZeiMOt+Se/2zAa
QS407Nb8/5/q9pG/TfXbFdw+4zc/6hB1J7etce8FEFnWoBKSz+j0dgDxB1vkVtHPIJSQ7G8dIgQl
fZmnfw2h9q3bUTPemnT2+wckDTKShgDL4T9PE5Q/L4w+ha5kMt4+lYy8Ku18xm3jMsoQezd1Ebch
1Jxc6JSGFEX0DOXNcqtZYX5uIA3JkAo6ZIqxkw7FwFAFonnFfDCtD1tHZ1G80iBqdBzUHYDaaFmv
KhkDK/FzLI3II1TL9cI83uyjDuz2mOBJRJ966xhAr9PxLj5lToCVuQxavoyL0J1Pn/hzYkSpANwG
h3dHn53IDLvk0ogW01Q0OJAvieiCu2mqRBrFMgi1cnJxNfdkgYRoDYYJueNSl7vpTCTtx9kfbOTS
O7ZIcGNjHB2yn2c3G1fT3GaljputBEvoPLJxx4Pezb0WrQA3VQAmdWp6LHav0oSEdhebd4HyKCGv
tgka1s6ps7Qd95oj3pKWnX6cBnUSSoEA8SDyhRLRTNbZnWNZJ9CklO/FyE4a14t3W4pTIHCSweJ4
UX0QYQJuJlf3tqLqH6kgncrQfVWLjkjAZL+ZyIPsaTneAWU+0wdsCBIWnUGgZ1+iMBInPJCW1KKD
NoLNObGa93bwY2T6GlTkFW5Zzx3ugcVApP6+Smy1ny/5S/PzLI6MDxudtYnNX4JgSGZ6noqXqddf
64Z7H0sZXxhj8QW81/xQN+OeTBCHiC8NCvHvPDzLoJrX+3Nya9tLADKmM3nRoanqTWzl3ZFafRjF
lyrLn3ORgUlDzUymvgZnBddMf3uztblVzZ1Ij9fkQh2JTAG6yAHiIRvNGZSQE/UbO17cPtUX0lrH
PRiob/P5VmJuhdGjXstwcMFRPjp7mzcXGkZ/EuoiSiiVFp9mN0rQ8EbTJdz+hBg7yg7sX6ebKfOq
c++K4HC7Mim8cGaAJhGYVHxh5FvzyptpGhef/qrS9FBGaoKuilzo4I7gAKmN2pj+KppUtC5E99JU
zm8fqzeZs9FK1K3f/tK2arWd7nRfbl8cAqTg/ZfJ9nZ1fcbcu9x/obmmf0O3L1TUdbibmmNh78Cw
0SkwTbcVJkQStDztX6O6eTCTNH6IINm4E7qOCl1lh56dpeXNacQ6HMWfTr1qQGW0ddLCfpQguiMn
nZvGvOF6dQwtpi00lqczCQG++7Y3nrpmyI6davHCHVeoFQFzcuka9xXvq7MD0qvGiY17MrUGqL38
1A/3ZOtbv9ikYa7PpwHM9O97Y+VJaYCJEyV6WFe30ZYmByduvENUxJhRkwa4+LFo3OgvZGpHhBKT
vq3WNDnQJukhsrLv1EmXq4XGHilc/2769MbqUG0W8iVN5oi4O+l2cSJ/OrhR9JrHwjhQq8fycO0J
swWdCP6gUev9CypVFtRJphwSmTO78vodNeOxsDYiRLCOXOgSOiDj9PGeDJqAxotbjvqGLgC0HvrO
lz22kthTdeGzHlrtZbSFPBdj9+51rvsF0u7DEoqAw8bv0QyktgDpFmo0I9c9FFUKBT4gqL+Ap9AG
JW7a7Is2ROmaeZnMLRT4ZFmCLwQxmvnHjhsUapupTu9Wmx8j9bFvs2L2qVDPimqIiRvWVcNlF773
TPlrX8/eZC3zhwJJto2sIfGDKK37oBwotY014Jtdf9UQ5HyLGAog487+EVvJXZMM5ouMmgF6oGZ2
4VbYrp3S7HdeyWPEKWIdrIF2/xAPUMbNIND5TQ2HRqn9I8RwkSIYjJ+ot/KsBD+NRAckQeHIQ0cD
s4URA3yWBP0TNCrA5Qz7za1T6PPEFUgjIqA2uXFg78kN6IiP2QbldpstjL55RHQAyeMBNN+Ad2iz
dHhPRYDqUtd8huxwiaJEI93UfRM/la19EIURvAHPk8wLlEefpDD1Y24MSK1ZQ/j2c2SXQIyCRubc
R9m2ZekLLYqQIPKz5InOMp/H01n3B9uf/Hzd0PHcLJJPeTaNW8MezGCbT1m9KcfGhnuNjXxL6bWp
VyBLtmRaCZjJzxwdOdMsSVlvyN5HySwbkdg9FW1RrDnoB57NtJj4rHjiGMvYcqotqpAgzpvkE58V
1tKwRw0ItE1Xe1L+DuJkQKmhTIENOXiUzaIzl6p2fh5wFzzYZRD/m3Y3j+TMC6W3d2PIjqBUJs5P
6ciQcDG6BXUgT5ifQmgIWoto7BeoofL2NzdvYMFq8BMx722gOTsUauxl2rYPQWdmS7CU9aupOYKI
zeYVLskU7YPsjBEErsmBOunQCRCGAdR1oRbN1sfGx2y20X3M5luav2pl1iDi5ZjxjDizID906Byj
OlGr1pN6E7lpNacmHRDkBTGnX5/s0kXBpvKoQSA2t5WUCNn+MMfkoQb8OsefPsUqof1atOCeDAa7
uNdiY0/cDB7USTcxsFbLXt0U0OgLVSy6uysh2n1vd+Neh/jrEg9HsQ9qP5g3zmgf6ji3nnTQpU+0
dTLLd2ChLBY+qua+kJuXlPbB0P21Y+YtQPX8je6YuoZwRYmYxaXR9Wbf+K2z0P04fJPpMS8t92sb
g3Z1bMZwp6dJdq8GUn8V59DQMVEuZIUx38YJ5uG1yd99BHyCoOnekC3t5q3tBufYMQyIuY5gGbXy
ESLK8YcvgyKLhBxjtjCQPG3B0AvuD1tf9HRmYavaZdJBuABnU686s4JX1vRQcXcAE1IHkGJKf12j
oHfNGhtJWYknUYNlBPj9xbh28Zy5lAKpdcWXNv1jBM2wqDmCrvRvmQRtdIGynNLgOjNXZ18TcO1C
TLH7ao69Ppdx1EFLz+82DW+1jY5M510HSPgcebnxpez7A3FouxnYO8O8+6qXCeQggb/Quih9yAC9
B3QbZ35VQDYUj+QHLZIftlsvnWW6Xi+7rAIzkI0HJSAa6Y4u2eNJcuBl9TpdsfpTeAGyL/JIA7mB
YkH06KbFIc819yEC4dMOTxR1F3bDV2VPdLwtzCCwd1yAKuVX+4hExiw36nKDx19/xIK/P46Md9CH
tvN1bBbhrNR7iBBQjwjCcdaULFjn3QBdMw06CI6rglqqebOJOBk2qG2rLq061CDWR/YCNmpSx82W
16JelZ7ZzqnKjerdsAe+CJt7W6pvu9k1EY1rHbXDs4RoWm/KVq5VXZBbq5eZxNPD1wzzLouZtgzV
mc+HjzOy/akXhaWgz0Gt5DrCr2fnIHWwqkdRPFZV9m4hyvgelvUKgbjuq5F68QL1U8NJOg4ie0Ze
r7JE8LmZjdrMc1Lj4BAjAgWKqc0QkcM6x9+RiQ5CRZHpDGkKaLkWI4RoUby6ioQEWlkB7qiIi2wg
AID+jcWPCOTkJ1c9fjNpvphjo28im+GRXGh9vLV1DW+JMoYGelv7NsR0jOjdw13hmJy9Fm4QLQzG
0pMb684+GPN62ctMAusNvDjUPN/tOv0x5G3z4ARhs/a8PN36KYNSmpqMPEYLiuthzV4R2o8Wnhiz
hdCdYQMKQapRp4ObZeXSE8xcUrMDeO/KPxxsi615mqJcfGjux8wDtD8O0y1yGgAYQuHhAmWQD1sp
jpoXbbOAL/+kWeFZeNWqzlGl4kUW6AuULHbaPaJr+Ba60C8WhP2PkbraINdr4hUGlScQKVaXAMGY
yUZN6kB1e7Ox5poAAUJrt+YjYODtzjYLxU3tIHxYQRri1uQgUMT3ah0jy0eFtMPdeawYxiHV+sTr
yr8XrEkO7RB7c2L05n/ZZW4lh9xS8kyIwC/B5ZtAlLCY4bY13sC3IVHzbyZnIfkArhf8QyQsbO91
pwLhkHrUDsGHbxuA0dgyZXANDJBXSw+JLOwNx6+2DmWeXg7PkIv5sFMhBjgyJzv5j1nkLX1tBMag
aeKN3YXBCkkO5PWcEc9F5MrBbgNQSJwkGyNOmy/kETShvY4gzjfDYiudT9Tzjab36z+2iXge+TKg
ZJjjbkwOariA11A/o69UVp+b1IuIf7el778Mu7/1/jb25tyqqUpHk+vRH3fdgKQrpNDLfY8IwCqr
DOs+Q0kYZI6z8T337oq+875bY/nDYo7zKBMDO0u/9w6oAq+mMTIttGU2AKlE95s+2NU60oIcsSe1
BpJqwdOpQ+KO1lzXX2+Y6RuuugCZxDYtIe5jA3nd8bSGQPEgP5DYNz9oMmBt3qaPtl7r+J12Fbhp
UmuVMBQXh3FZHAGCz5YoeyqfKmF8I2ijxr/hsRW/38bo4RgsNI+9SI5/TEKtocK4XN2abt2XK8gj
B6tE+P6BDYBesf6Zqt/zvIU0XeANJ8d2uoMpsZEJS894rePJwerv9d6YIVtQokIEt0SOFSbCwnZx
IBmaVDWZalKv1QLbSb3YK5qP1PunsTEPkLlIMxCoatkJywSsKyFAa5a9sy+ljqWmsncVB2HA0LyU
0smtHzIWzhV6tAsw3PrpJfAVgEGGBzB1M/tbBgzxArQa9p1WQPVv0ET86Cd5tYSS1HgE5CvZ8SLm
67HIrbMVFWzeMh68tGZ2TZPc/gFgP+obXfkelH8NF4FE+UYbmyDyx7sC/AguQjFuemBN66F6oH+i
25/spp3xtSiqSX3IHcz0DGz3PssgjHQTJEqLoFkzGYAMd4Qg0a3DKGwIfmhnMNiAiapA1T6CK7OS
hd2ems2QfzQJeoi3w+fe4dcm9UY64GH/dmw+okanzNIFqG0PrBbZ1lULLFQjQpHNKdPgSG06KBcv
H7NtFIvwYGDxSXwGkey+eywPzrzr7as+xiciQ7CyzlqjbDRakdeQjt+B0vPPWNtOXmQ2BwtefQIv
tXL9ORf4KyavrC74Sjq1tUSEEgXCfaU/hxa44XBfe5csqMHHjYf/ERgZ5KC8NkDQpbOOI0rFIY5Y
W9cmr5t5bmT9l8i1XltXxN/NssFwlYdiSYmtkh6/cxdCq73PdAiy+bin/RrcKN2ANElrhEfP0F4T
zbOnBWUbG+khj4JXWqbRBsEBynXmWG28o8Waa+M3CDB8sSQ2L+L1kr2XHLUKrwrF/EX2ppeAdii7
3TnzmyvZIdOZ4MXgljMQ9o5rgGbSZwF58cxwgrfUAwxagIvtFCVBd3IAoEapQRO8RZAGYDq4N0wR
eutfR8ZGOJ6z1HrOsLI5goIpO2LVmx2xA4k2rNeeHCsM91YUrnwzLe+TJGrPPBYoaOmgDNoj5jKv
PF3fUK/Wsubg+87XqVcf+HsN8MceiyPsWritQfISETLypQOI61asy7Q7aoWlyxf/+q///X//z7f+
v/3v+RllpH6e/Vcm03MeZk39P//i+r/+q5jM2/f/+ZftOpbDmA0OC+aCfYRzB/3fXq9IgsPb+F9B
A74xqBGZ93ad1/eNuYAAQfoeZZ4PbJpfInTr2hvLVawKQNJfm3gADFdK8Y7UOdLn2bdWW0z7WL8L
4j0QK+uYVlgdY+0GpWYsOfExSNcO8cpBLtWeBUMZrieVwThsfmkDR3wKUAhzW2ZEMYsWyMakEAgB
MxEd/Nj7bCPnMk0WOn7jO8gTo3pWHViW9kdLHfqoqVY5HnpgZPqrN6nkF5DppxvW6lixs5RXqEdy
2smFxpIzTQA1BX32z1+9bf79q+fc5vhlMYYcNLd//epBj5drXS34fdOFwwZJYB9VU8a4TG2tfKli
JE3UcqIbgYMuHbs6kwcH5glQbR1lYn/2qjJP26WB82meTlc0G1YvIVas7Rirg5ckrMxFZMXdUUAS
c18W4MkYkJt6GkH6jK+XvytX8E+jxlu56h6URvxkONBtZlTDnQwia2fbJp65gDSI//C7dK3fvxxb
R9QX346N0hDOOPv1y+mcuHRQOp/dT4t0XjDg8nP7CRmK/AJF2fYCqP4jPQ7DOtNW9MijpvJCuVZ2
GQpoFZuB+4oYsFxylmZgTcODKchqiDUw1nwxZXUUao2Il+I1i/T8mWkFJIOKDq5Dbu9rcQ60vDqj
0H6FhD27zxWbfgluW9AdxN6ebKAMi9dNAf5H6qUBVdivmOLlR9QMqrVVaAO3Z6VzBKei7SgysPZ7
GSCPvQfODKuLq3ntAUUYNPfQrmf3v/naxrnm5taBcsdvS3tSmDMlc3eqk+TnxtYHOqlD0APLX/1g
2OH3qnPTh0YdECksKhaBAAyNNOTtrAX0cJe6RfZgSqNaacaYL6mXRnddMo3OQd57N8Ub7cLUl6bd
xJ/I5dtGqKey0ayoozT14D/8Imz3l18E03XHwP8MitkCMGRhqdvp05MKTxZzAJWMf8/wioJ8nN6f
OgP0yoQzDMsnw63NV1qE2VrbH3zm9SctcLFE0ypIQUbxkVRlJ5VYEo+d5GHptHKLopg1Su0tRBEg
tHfKCOIycbmnQdRBzX9rmybz9dhb17WDKpvBcpKN6EZjr9uOsaczu4+tcpaFA6qtkCjSN7YTbW/d
f/OZDHYl1//h2fPrY199mSCA4rbOHdcEEZ3Lf/0y46DSjSTVvavo6wGp2NSdGcAvnM1Qc1H0nRrL
NnGzl1xnS1rrkkdVBUDpdXYHhlsQzyKNWDjAHrfFpkaeQT1nK/V0/XQAyOjYSmi5wYHM0PhA0MkI
EE7zx2xexQboXU09vRhuHM4o2EIdeqp9dCA7EyJKAFp3zZbZPCoKcNl4bnLhqHP552/FFX/7iVm2
0JkwTFDu6rb127eCFZXtZ03Crzrkco+WEswAtUmMEjalckucqD6PokVfXEI+JotP1Ms5BA2ILpls
4M8DMNYBlTxRK3tiQB1cz5tFXUUauLjTek6lgDkDPQekkP09UxWDkb8WshDPN6+aozpN6JBu7FRo
qPAikGKEmr+hplS2zgFCKRisv9nIr1ChpslZ+ZFtqB0stW3tpVL03jPhj/Y9HsPQFTH9CExdvNxS
T1hCY8urIMNFvZ+8XbuuIZBru4dAmuonMHzFz6lYRWY9bjKGQhVl1/Oe4xmBoCJYU7DjB2G/g2J8
5sza2u3vTQUgKQBERuoWOyXVUn3dAAWlpEFYDhJhgZ+B3rkzvC3EvYuTbELQzI+Nt3dS8SXJZHMl
U45X1yJBDmNFTeowEkCodOP1n38jJvvbreNCb8M1IC7gMhu7cNX/6Tk0uDped4NVXoPAUFHn7Dmq
q/At61B06PVcPyPzE6I8DwXA4NcL3gowYiC/770USCutoJsKlgzBw4dfR7pVq2MDMxzcVAuBcQUX
C++iCjEp0NVS0wnHZVDI8b4NBFhF/GwVKkW8ItfyI2hiUWqqmthhNBtHKJYb1UwrkI+WDus31ATQ
6GNKakIKeRmi1GzpWPiVEyIo9Mx6GY68+QS9BlocK6OqmoBDCFSN28QG1G2CXrMURBJQAjMm6DXU
5vI7z2KfoNeF39dL2aVy+gj6nAHAHNR9m7F4MU0hL9x0/bu4Bf61B4jnxZImlMJ1PT2gQkE8GH65
9YLCeAGrSLPCM9Vbk1sUgf+8QK6raxzUO7XYQZCd283rbVrLHxEBVsNp2kLmPkLxxaGW9oi6UUg3
DmUbPIBz3UZ9DqJ1lai3Q42MAGAFYg72i/Ady6dslo6l9xi3o7nwtD65y1AbupF5a25pJtYgA3ib
qdNT/+oWPcDJ0MlqvX5uQjQOwWlgkx11IDurmmFZM0vODT5+2KiD/HqMsnTdmuZwwjVErOo7x0cE
JbNl+hUE8DtShmyiZs/60X1BESOfR2IIgJ+AfKpoKmPThwjYG6Zl4Qqc9KsT1rvayx4BZojvdDwO
LwM2RtC8gMA1y9sH5Ll8yNn5+UOejjVkAop2TU1eJnJbtygcpyZEmK1zXeurSFr5BRF2Y5Hribia
ZZ7c6aVYG0MvrmTqQ69ZeKY3rixlM+2yhnLH5O51SXYyi2xLwVqIBoHdMOFbChgFlCFTtqYXqI1u
dQDCsVhyQN32omXGJawYgnp5vbW8qvzRmvGrFY0OMK+1N8c23T6XhlWv7aTWUA80gq4BKM5VEcr8
+qd5knjbp0W5RsCiXZYtJPGysLgWCo2CMkioJCsgSqblEG2skwy3FGx0YBAOIF8+4inlhCVy8v3w
xcnzxTjkw2MUA6DhlNxArgU7dqxubQA0crxIFbkhS4oFgEX9rquaChm4ru3iYx3l5bw2dPcCftJg
bTlFCMWZfDjEJqLzKEkU99xEooDngfMGTNUySX37hy/dfdsgI0PDUQ7gXmw/CNcoaBpX//wktH5/
W2LVYOuWjhcDNwwDz5RfH4QIQ5WN2WstBOMNhFg7D+klggyAbursBtLYgCoMERGytdCOCpr2YWx4
CcEbsORzURiXqM2wHujK9FuOXyWKy+znmwdq+H0kqr1wIxTFCvGsSJCsYv/TuksiVZFKwJbOIOEI
Ydy5X9fptI6wUH08l/YQn2TQmGfq0JEBOf/z12D8vi5VXwPTsW5Q/3FOO+xP7wPR96jzdnR5+qhp
F65CkuKW16F8DBIvhAEscwRf5u2mT3xrYfdW+fvDgEYUCYr86e4PCvDZIVMWzf/5km3jt3WOMBzj
/1F2XktuG1EafiJUIYdbEiRIDsPkoBuUJEvIOePp90NzbMqyy7t7g0JHgLEb5/zBtvnkbP489H88
ecI0VTAajOLzdUM/+1aNEnoQfSEmnC5BedR2Eq9yfNn7s1qs8bUClOqf1QG6jddqWeuiL1ht3Ho3
cWu5RlTlaDRtRJgzs5zoRTXQcinSzRQ2CAeT8nDzRAkfpaD6PMMIQXeHDppHHii6Oy1nt345Fnn/
y+O4eH64RUIM1nQeg3UeLDTT0WXKf/86D9M8RvVsJLvJh+plrDVMWfoZq22LjSYBJOtxmAcMdRfC
ydAl94De6tdbD1/SZ/JD6rgaAh/XRhUqQzSOWDmFCEynrDmwQIvwyZCz6jAsraIoDgGJ4Mkcg2Oo
y3hV/TU+H4wEnrCifJOHu//+DqhLdOHvL5cfr22hEqKrlgUn6+8vF6pFNpHJCnZXDpdWrq8RGWL7
zkkNchKXaKjUyyGZgwYdcOr7KYfThkD1KjFRcQy6HmE+2SJsHaiaN6HlHPK8AHX3l/KtXXDC7Pp/
+TbzIWlLNOCXF2PIKq/EcTSVCI9u279HsWRcfQsrChsv7RL90GEXvgYpBIJtMIL3KHOQwAN4bls1
TEl9jFaiHgSQtUWLkQR0lIfvjlykmB0Z5lkh5/CSkRcV3fLCyO+CkLCLKBYGstRNPMiIOkbslse2
PJAx+wbYKv6ZlWc2jaxIeaCRkfLtj0VqeE1ksHvU/bTdZnJVHdu0tw4kkQevrfX5Hm524PJXrr4t
8/StH/2c5895VAmlR5NkYlmelSBkAUFBsj8DtD/ZQVIcVH7dyhIe6lCgCrrTLL3U6G6cRS9RLYpT
V8072M9fRb2oEo3iMPWV7yps+9fXK4jKZpmyUcZ+1eV54Im6Xy5mW63XTXFz90td1ufZsZUr1xgq
/CbFEHEpA/KXp6Z19mud6CMZdbF4oPUELP5511hR80xoy47HTqvaBzIqiCnMMVwcFfiZdpq7sP1U
4xiXKuH6RPGRyeuk/k6UC7sI1m2gROxup03qNyauanMyrRFQZkUx2+zJ6kLrNOv+xdRDSktVl/rK
qmllA68QIyN/E+h3kp79vPUYDPknItgWf+16wn6RkSTirH1rYbMs5nCWiRBOR7SgM06ih55WyY7Y
OAHopVHUaYm+IXQV3l+vlDnTNpum2b3OEbHjjef4YtVe1CQoxS3j1MbON4qjWJvrDIVfPWj4W94m
tZQ5ciF6lp6YVZ9L/xylwcE2ZKNYQwfEkaL0p10qX6/TBr5+xLrlTXQX84yk9VctQpoHUfRDW19Y
O+A6l1sQhypATyM11aMYFdiBtKtLPhNxV6JOU6EjkOs+i/6RHiHO4SuhK96bafS/aEUTHW204fiP
6bdqqOuPCD3qj9qMFBZ+Es6mNY0wX49SssKxJXsQXcAYaFDYcCONVLXYqLHeek6PmnCTfk2HNN2O
sx7tdUktX9PZZwNipV9BQDau2RbqHa6j46PU99+Uyk++gotiK5G3ytkOnOTC7tRciYbcHH/2lSU9
RH6RHOemTV1xASLjd/YCZyz66YxUHzL2Ix+FuEjqPxelo6G+OqZeWg6O1+hS+Y719nqSa3+rpg3U
Uoc0jtTeDXFF7qEjGLjm3yXeK4klw7HmLSPyKK/KMZKrtc+fmK8E+YNoVcyod02e/D1RDCUHPBPG
q9epar7DFTGas+108hOGGNHWVwnkiWKV1/IFSuPu2rcd4WdjFVBs/Ub7LmazSkvyMNk11jyFK0+q
NOqPmXYn2q41OUyIDMTb9VZtqc0PPLNgtbLcuZbyfIWICLShhkWTeOznPS8x0ZhknSfuoytk/ajp
+ec9D6Z9AU6cX+95+Tps0TYoNuKqqQGCfbYsMunLBZaDuG/izcP1vv7rnsWgsZH+cc9BUiPYT97t
0ubjdpASw+tqZ1+Sm4OD1pUAO6SerYU4ndKuBrZKTqSMLGPniBZbKmAr5im2bteeLaSO2LADXNsW
XMgyxwCieutH9luihRhJizoZedHwKE6vtWWvyiugdn4uJW4YsQBoyVPcVPA5alTe2IKkT/Au06cq
w5FycB5EB0AD2kaGSrURxVJO1EcGi45iCA5gtjuEQ74VdY1NsriL1lihTvuiT9efw5i3CVtwOV2F
7rbap09yYLSXSTG9W4+smjpeZlfsxFzd3Don3pG8X1dleSf6iaF1MGLHJo/NXtTlozwcJz3+mKu5
29talbpEdmNPb0fjICd5dgrGmp366Pp5ubeTAnsrOc9WaVhOP8J5m+ZW83NK5+88QauvdkFyIa79
HEw4wndzo/NgqbbBw+ijI5P3avZFVWxyxQwCMMuTTqt+jQ0NIf52zh7FlcepMA5xPJp7pAG90jaR
F1Jn666Nwx/aoFakSSXELU3bOEWsGlu9DBTYdFhmT0nlrGUfzIPUbCodYY4UlMVXO5DPSGgv6U+i
NvbImxwDFAgjtfhD6oLvFc6u7+YoJ2t9mPynBn1KFxsGGdrH/HltWPzl4bfrRl1gP8CHgDYXhsMr
KGEIzgqIgr9dD4tu+HxFU26dqUTBHPXzbY0GiOunWOjkvcKGe+qVrxDzVn6vNh9OA9U+RDVuJxPL
eHV081Bly6y1o6ztGaMjbeyVSx4l5HLESGKRflhNT76jlAcLM+mNGJDl3qzG9heoJSkGOUOzB6Zv
P8+OeS/aZzMmpqtUwzksCc/DbsTvfLlS5gQIfenWMz+7dj/KYbKt1Nr/4tfb60DN7jdqNxcHRSbC
hcnf+/VGQM2upJw3LuGB4KSSv1kXy4QAlw5F1OWvsx1OOxUq+DZru+4jKaeV6CBp8PPw7svuEF+q
Hh0b8ylxqcaAvN2wa7gPwEAcTRQwXdEgGc3W4V/zrbM13bORKvXCZJTeCp1PfrkmEneVO4d2SgoX
xA8eydX17SowVl+BdwkeTQmHGn8xERYj6hjED4Gkj3Y2A2+cy3qHC8n0Ohf4rCxvdJKhq4AAZnYy
Z8kBgherq5kl6YVk1Us14eARgSfYFUGCbdg18U3220A7gXiWSepyEYIRDUpgPUkj5pzLalpLsfFY
Lgc7ZW9XabG0Ectn5PQ02N9Dc2yuC2qZRbNXoPuzFoNErx707sR28iRK5tg5uG4MLMNFoXpsc5UD
DKqVBSrmJdUl6SEJyjvF74O30Sp4cyB7XmORda0Ac5KzcSNazSxIXYnU3V4EH0GS/kxLWz6L0jKj
CoriJV9mRJ4OYXXil0bFdf8ki6chfpOQQo5gT+1jZ/TsTvtqVHeD1V3UpQGuGySyX5qlsdzxp2/u
5zLGww5cln30DfXP0yk0cdmZxz8C5cugB4h9d31GEMzRknVohe3aZo30Kk3WkzV2jJ7a29q5gW/y
ONdyeNIy+fLZOZdI+I1d5l7LKvFCGJpVi9PNMlmT40Mqxw9p5KSPpMYJ+IfOj85MaVM7O9uobcPX
TFyo0YvvXdkqG5Do8ga8s4YSlxm/pYFkbjLJKTC2oVgNSLL7YVIeRXHU1B0YNHZRhW885XO5KaY8
eQvCmkzGYurFRjp5wy3B9mrZ/2yN0zFxUWya9qK1l62vehHWFzFUCjazJsNYSKvynuDLi7hOluvV
QdxUtswPZfzfb0q0ZkQfxU1JKHyyWUgqz59m+ShQnle851LMSYCvfJ5krmIBostVRuAXZGgg+QTY
l06WEBO4TXTtJOaMlk5Gls1u1QYbHunXwJLiJ3Ag84sG2j1pYQeLkjwUbNFQYxclW9H22iwn11Ja
TkctKIZ70ea3zgW9LvsiSmogP1VIS15LoCrfutFSzqItD7JvSmhEV9VwGYd5ciP6cLpeQq7TFb8N
/yi0wRFYrVe5MwEIWW7O7wo0C5TUvhOtOev8Ssl08jSiFf93flMpSNsukF9My0nXmXxqzTrZkxor
nmfTir1EkhVXFINUbk927b9bshnxLcanNJhQGxONcsulCq1xDnkjFc9j0hfbPCZEL1oHX8uOzcQ/
2nVsi06KnT6LrlmOVDmBejbuy0XDbug3OD6kZN+ZyEGB4QD6P62H5pxqWAukSaa45Nebs1Hh8wso
h9M4BGMx4diwvVZWoUNT1Sj3cdbre0IPE5ZwyxwyQJBMy97rIdyPMxh1xBHzJ8UZsnMVhWdZUqQC
sOjMA5uiYSe0tBpR0975E4gzP6uKJ1GH0dUXI1MBYi1VkTNgGr88CE1igkmBtaAWDf++jB8VoFN+
iLmjKIoRarkNk15+FDVKyF5vMtJkK9rCKRnuCYNcu4sew4jhdVcSSRJFm7Anwv3942yNX5DKaY+i
upWANfIF7Q+iGDSVDtMIuoAoisNQq89am6YncSVnhl4RsXpBWeJGxUE2XLw3XL4o6f2gj/JGk7t+
wz9Ntc3bwnLFwL5QpMfhx/XVNpUzuxNkc2B5zDLHmnpJ0thTwyl/Et2NnMSsKs/q5+3bgc4zkPHm
JPhNreGLwscP1jg7oextadp9Yi3IbMk+3KrEWTJaW5B840mUrlUYbpA2HEcPQu3ncHT+NaDjU79G
6WAflqO1SXV4DhMo2Ps+trPrwW/sxXDBPzhdgcxM1iB3N475Zz/N6YZtZ2Hs54Rl5A5JoJzIZ7cn
kICZm4xp+N3fizDzrV3W+/9sF+NZmjMe/tJiS5bLcitSRHddCzdfuKPfikJE51aEOoT8zNIZmiKd
2X6/3FrF2AZYpls78ri3yWBdGk35KVLCph0i0VbXpidSwuzaThNGBI8tu1DRy4+tl2lArzjIBmd7
9VBSlZe+i9oHR3eqh1RLXwUSpowDe2uVpbPtWDpJya4mE1olJOPCu+lspVKdHUMeW5IkCktQQH92
ERpbyRhWLlI442YaimRaWU5+j+5hvBcAqWudgEmZY9u4V3M3PL8BiJQjCuimbPOmIaQczjqQ3Rzi
DLp/2otoxWIMg2N8HdJkCLZjQJyulAbUNBW1kE9h4mwUsmP32nKYUL+4D7Ly26TWyUGURL3dqZ9D
RZ04yKY0uhMPbRdDQ+s4Qpz6brKa/tlIumbTVmGzHZaiLinW3oyDaC1aCz12LlWtH0SjqCr73nU0
WXkQJfxykOedsuIOD/ZfZ5OVbRTU5gNO2e2jlJw6NR8elMX+fMhIoTt+K69Em6gzAwkbq2ggILT0
F3VOcmrrTj32cXa+DTSnUV6J4m8DtdwgLc4g+GADYYr580piQJzl/q5QbTs95+wTEF1QCGEF1k6S
cvUu9wfzH2fs8LeK5YP+aokeEUkjSrGwEIAHDFVvHEWpGyXjDmOMr6IkDkD+p3WM07mnZQNC3b0d
PPbEU5fBYho/aqXl1x25fZOgur3M2IaGcRwGKXw0Q0BSaY4H5PyqipcUI2vt6qFpI4HK2ycOcV3f
pZomnURpGuDRjoPyKkq1NfTHurBnLyVzdoyCEEfJ5ZD8dWZETue1SfUheqRK9dlDFKc0XRt6GWNL
qLdI0EICmrGsXTmoZZ+HKnUu8tKQLQ2FDpgVQVho+sXgXCAbf46A7fpzLlXoOka67xeIgqbM+oOO
+uWsNo/ZAlOw+GvfNSVhFNFB1A2LGJAEFvY6qCkk/cFytrl1Mo1xbSZqBFg618/iMDgjNmx46G57
DJV4oKchtBeg87S06PAXR42QmugnWgEXPve4su2EslbumFiimPadENZyFDT2V6JBlJdWyQ++g/mE
fx/iJZQ7g/p0OwukKXTLpU4KaNUT59fWW7+xMI6Y3XwLh6H6IDhLOoSP/0zeVX2syEaK+hoPesJm
TbmTx6j6CHlMysbSfO07NjxIcPLIvdTfhue41NzVQLPvWxXFmhkfpzceJBBAX87qpU6ciTrRKvoN
fR3+3mo7w+fYovbrtTOEqifNGiS5NkQkCSX+AwCUjai61YuzwmyDU2frjecYyfysp/5JwqTjj+UE
yOQgTjCFv9ZYNU6+Vytyn0+ii7vwINXKferzDBGJT06cNs6MWY89DQRI+EzN5SAatFkND86fI2xe
6flKBbIwbgHjoc2uWoytN9iV8sxHKXlDGuSuKKYNSGODsM1KFJsx4TGNnUJQR2q31iR1OwxxDHaI
oQ4Ix1XFL+9OajXlWUxcxxWB1aUYmkzs5MTafSK86ARP9j0CY5syVMezs5CDkhGLUNkI3B7WE6ls
v9W1NxTDkDRMsnKtOKn+Jpk50Vopr+C5VdpbXTYfk6Gl9wHxz+d/GSQpk+zmhWqecmy1JSlO2Cu5
QQDqkl+MG4mTYXZZscydqZnGNpPU3JvAeBMfZ/EVRa3RebJaFl9RbPFTXc9ZWD1MU6of1NSR1shA
Te8yoknrvjOyIyGX/g1MWq7jmSB6haUuQTdzxnfHRrQXwafsqPWS6CUG/1svTYILkitmSDQk6d90
6SRmKNvu87Ki+Ntl6dWkQ7GtpEFxyR9m59sh1tCDK+XTrSZTWMdXYLLWdW2UR9GAu0h+hvzeHWWE
fd/zjN8y68wLLmHmLpsqY5uQ+Xzv68ZNF8xSbGFiEJStfYxRgr2MPZbnVzATI/06Tl7Sqv0cqfjZ
daTokP41slIz7TpSoJ2wmHyYinYX4VXxtcm9EcGqnzVOlKuq7M0XA5WOTdEP0amupOSulkZ16xhm
8USkhdyW1evfu7lbiVFJMX104Ry9tQTjXVBl4TnUSa0qBvE7SLDJY9z44TrI0upbNNioPJA5S3xW
VKls3ufIqdBsacILcpH93q6LDzb9mVuNOrEojJfQe5rsL2w4wdR20c/F6CSB9faRZ4q19gsjulda
X93ZdmLuCk0hSQT+HpveYfzQzQIbG9ZWRfI/OhaETjGcs18pxXMPhWBd4hGyU5yieJZJVUH3dOZ1
qYfl8zAN8qXFLZHfXfEsehijvQvmKb0XVWbtNOvYtsO96D8HveFVmZK6opUgfntGHu1BXEpU2eHo
YrXTPYhSG2oOfCN8TMTcUVRLWxNPZaRhuRkz0ApAsOUX0XcssvqcRQaM70jSMNOJsmdCV+c+zYsv
WgRGWkfS51DbNtjaGVJHoxRfJn9CzbPT+VLg5fFeyt9Ed0kBmzTabOxFEV0Gq2iHj0Lrqh3Oes1W
VONj6rZ6nMGlyNR9oYbVRkzaS8ah4Mf4bOYtlDxN34MhSx6TQse3Rwfc3Vg9/lRF77MUVqzVRJMf
yxaUUTj1kLzyIVmbQd3tUPGSSJAu5f/j4OtUy9X+dQIlwAU0bgvUVxbFhhZmP3oWL7GCGFmnlMZK
1OfKOLtlMGjXbnU+/tKttdNfu5lslvYy++TTFAlLcJKIf0RJ66waS8EvoZ31Nxnn3Rw96FdZdsKL
aVbhal7+RNkf9J4DN2MjimZlkIcnUHAURV976QOzfQ21Wj+PWZCQxmSy3jQgE3dIHMb9yiTn/x02
uyurOcEJgE13seI4X3QNNzmsE+VHxFr67Zi00p3vVN0d5G57q0Wl9BBPCL6FcLy/GH13VsX4OUEG
aojqP8oci4rRagcUWvEeLn0nP1vl1O2RsZ52sd+0l2ySUBXGiuSVBNGPLO7Dn4G8M1SN+6gU9cVO
7RE3Gn570kIyi+NK8WAGdIc2nHFr7XNjE6H9+SwvfxQ8vY/fJLNBy5qYGH6R/S7RZH83SXXgto2q
veRRa+/KiiCEKE5AynaJlMTXIian2k51muRaHAJ+pRnWZ65cxPpLKo9ky7U8Z32l2BrxSNEsrp0t
0tW7CiPFa6tZB+3OIiJ0HRsWFvu8NMRqcBlbmmRPmknB/nG5K+g9GbZxUn9tzQyIpJ0to0K5tDpO
Ge0CRZquranjS17QK/K1dU5j3yPFDhljmbm2SIRgCa5dWw0Fp2dDRXBcTBVGsubJLTqqosjapnhz
1yBbsIzNx2H2VMPHNGW5rtKro4d9G1Stqdk3dtnu/Cl/wXtoHFewLJuTOPDxfp7F2sVq5vH4ew/R
LYTyuiKRl3qi2JSYDOehgWnSYh+Z6ap9cuYWnFHpX1h8NQtxFDPaVgHip6JS9BOHoIi/WRHIUlES
jaaE/mSXDdt4GX/rGqfEotKYXNitTpy1qvys5lia3uZucGa9s0Pj0EQ+K57o5sdwbiu0clwxsZLx
57OKYI9nsKzvbhfzC+xHKqm4T3gg/+X6UDgaRI7yeCP63i5mqcnesJvyeKvvAik7oF39Kq58mzvK
VXtNYEy5zmE9+ZYCVXSxWxEHKcJpJXRwyZ4WVtmf1WkaGu1KlFWsMv46NUilod+C5IAmZa4MwOJ4
PRVd2zKVVmGLH59o+Y/p2jTyVD8gtbBcclrmMYOOpyJR1ifJRmLEUTdKbLM3QwfXGRRnXwV8y0XR
NBKL56awOMmGE7zWeLiJemW0tX1Vy2xjAV+9Kw1UMLMB7gzKWX/JiAaI+iRzxv0cjpADxeTY8pAj
AVdIDIQNrUIqQBzKNnaO9XIQxbY1qq3sQxQXdUNVkaQmx1+uZFXWiUzF1im2WuuUpI3bOdp8xyKs
ExtbGkzf6jcEvlhXkpx9tugoWpQI28ald7iMvdWLM8dXPoeJ4nVsHRgHvUBz9VuVNt40qdIRSENq
69lJHCY9QrBqOYgzUReRMHLBQdfr3xqQGoeAuIwVnWOp9ya5LA6/1YseYihpcn9bs12+XvHfLibG
KrXzjQDiEpkj9JsO/rSVF3vEaTmA6/o8lMJAMYVWsjcDeVOL4q3PoAXyWnakwVMbK14ZihFhKF0H
e6vMUm8Ig/Q18pMHQSmZGz/ma9H+2sMBjP7fPXypat1pbpGHdVAQdbqW4FUb5EdVtja6htfurcpK
Y8QRbuXbiFpNup1WVCfoMdlR1F87W5NsuX2Go53Rde09WvMwW3QcO0ZiJw7pvtraYUtVrKrJaO+v
lWXeeAD6FiFX6orl0NRptOEZW3bFNNcGxcI/JkFNe5YXG6fF22mUJnmdpn63vtXFdmhZ13IhvJtu
TYqCnOpKjBSVv7SLctOghfHbdP/acVzuQLSIg5jRVOzPuluRXx0Lu+hj5xWOMNsEAprrkHEZV2Uw
lacRN0YyO0Ul31VwU2QtpChaOr9ROzdoa7iVfMpbUWnW5mIKMmmxm9Ron2pD81hFMv8lamTtbSch
XDLUyYNqv4s2UQPiNN5ZRB7XtzrTwMcjymHTKYlRP4ZgBR6LR9FdHFLNYdsu29b1GqJOD+UY0ZCw
2amFPeyUTAYDk2XpiWBcemqIfexCVCAqv1AGvrs2R9Ei+oDlbMFj9+g4L71FA9xJZVv0GpJhWaoe
CiPpm2c/w/DXqLDCc+zgKTOi8UPJwKzXRtaSh64wpUsDABJ5Mx2mClI9G8fgHiFNDBolGJgJj86r
IdOnPyDaryGhDMEq7QawRpoDZklHUCCNumfJJ4nXazXSHRbS23KaxHtp2XfBXSo22jiNz2UDmDwy
UdZX7GR/nQmjU4IrPoKPHT+/NMvP/pwhotqWd5qhkse1prQkO/RnWZyJQxM1xU5vNMSeguBk/nUg
tAb3feRvLYts1ZPt5kM03up/6zuPVbhg2/51jtvQMLH7A558GzH3rV6c3erm0o6OEbLZyx38dqVb
nbiZZEZ62caF8K+udq5HXmXmCG0FRnNCGBajeivQtqOdNZs6nsHvZw+OBZFTKlr7uczV+xL7pYtM
IvW56ZR5NVttetcPmfM8+13jEnexeA9o1ZvB3Gps/zfqUnQWL91ZAoIjZor7WsE3JvwqGg2kgh59
fi7suY91YpTYsAX81PFe5+gvcrZkoMAyiLI4RSZ9OIBoXXgfo/OS+fh8p+NwFiWonE9ZLg+XaynU
CWzZ4/21ZFq7bC7kB1FyEiIkJroBuWa9gT+HNjy080UcVICwm9zXZCAK1OWV/tlQg6jEcsW2N61s
dCYM/6UFUZVVwD/U7jZDhU7AJQ5CL08jzOj/mhlyvLPJNdCXDiac0J0yfYP2mHnfArq51wsr3k26
BbOsL4GWLAeNqMgpw3pe9XkaYVdKXacFnlbPI9tTSqJvHOnqqjYj6OrY+9x3mCbF0niUo2lwMyJb
31DhqRTzW43SnisnmXrUpNI6Tz1pNdFQwTbHt1P+6AcDDufc/oCQZXtT0xaHDLMGRABvpzHw7ANp
3WZex4FaHFrFxLtrlPw9lg7EnCFUmkZdPoc9MHBW+HpPcK98ztjgeDVW2K5ozSAXnuoheyUYnbbr
bphXdhc1j+WSVEVlZl4ZFi6OfeBgCgBDCluRLpcPjeLP10OSD78Wv0mzmSH0KwV3RIXgpSxn/lyE
vxRFw2916dKvtHMsaMUQZW43/LcYuxo40BiGZDymLNxYoVzDio3iB8WoYcJUTfWt6c1nZ5S156Qb
9V1i6f42LXv/TYJGMAKl+VbNSI7m/dSeYznTTiPZznVVj/lljEK58YIAJloOygs9jMHfK02CV2Sj
+vfqcuCpqToPC5EtJty/AQPLJr0ZcI2hUXRjif5B+Do+iDnEITQjQODBFloquLRQn/E2R8pQ16Yv
WlmitEkiHVeoLvaiHkS43xvhOUbH4VxUIZqvjW8SiaB4awiXYqa3QJ80TJhuDZJpVCcJ4KZV5Sjn
5o31rgU+Wsthbd2ZEIvfhu6buVT7eEDtuyU4SJagWoFgDnYKXFcUsAYJd1RTOkIe1jdDkJH4WRpE
nWg1FB5zEWunD3DYao0G4UrKZuvitCDEbUuPvslT+thUlfRcAu3aNbOubtMql95zQ1qLDhMO225X
JfpRjPRzoDrCegWbkcdMkcnvflpBtEbKapdol9g01AsRyWEbZBIOIn/VibM6Dqv1Es7YTs7UwyHk
yaifRpsvJmPFwahT9ewUz6KgFfxBrDJAf/uxsP6w6qlLNuy7040Og8+9jaqW8YFW9qtm8i1PNIhb
8cE+YOETIDK/uGJbUPGlrglfJzzfL32pBCsS+gSc63nyrKqxNqKb7ZMiMHWHdXdp/X+PMvqoeukw
X5I0tb9HnKi/h42A1IeGTzKZpOOtvotyEsXzbPM4SDfRkKSyfCTEuheDRD2vF9GHdlhCXJZ2IdtN
hH2wzTfZkN+FqE7seOgOWD+koEG+X7HLV6uRTLd3wNdpQdjuGxyjdiCztItRNp+jeUffQQ//1ILu
B9MFp6vOn1AAtBZpmtDAxSnyMfS8SQOKhrYfL3mayK6aKoCBG/s0KaiqCUWquFe9QI7skyiJ+qVK
9HLm0PeuiV81LwD86Wb4VE6q/yBlj4CEobwshxlLJjeuxmgrisBFFxvlavKqeEbY0u6OjdJOF2PO
ELIk676GUjXvRWNkjdMWF+Z8I1rxux3vshwfHtFaZyh6TeC4RKOogmkB1FafLqJk+MQY/Obo83iT
q+7iN50udho9gFI3BZC+FsWbX/XV6EaUx6VPU0ntWnhay5Y9wo1WpifbRrZTlTAyZcs7P0mweniY
GF+mpSSqZFV9RSY2PYn+DV9ZD5t4Vp2lhw2M6KEPdQL4TOZApkBkA6SYio2OGp2xx2ILOPLvU6YP
k2yye9SjE3kp2eWGhgdk7VQ2tiv+Nx/Gui8BV6rJesom/PakHpeA7j1oDec+OZj82TxYcLvTaSLb
mmaWpxNd39qWY271In0v41ICpG9K65D05I507B4h4OjB8flzV+AofrEJdOstCs2KqmtoXOjjWZxJ
BnCjqkTAUTX5WGNpyLBvLxfRY2dN/IlVmlAskTOW5EH2cTtufN21C5UobrIgyXfW+DA5y47IQdo3
4PpIYEzFQVPref2iRrC8kc848PsfV8DYvhdI7D2WshbsAzv7cPrgaxgHjudHirNLfInYFo/DrJIR
36L5xYim1DMXNIPdjPu4Lnmt6OfYETbFurGakJO6L2EibkNkDxIf9HmlPHea8sVRVHslgwhz9c4n
2ilZq1ojQSRPAH+GoFv3A78eogQ5nlMttl1ohsj3jiMjf06ecKXOIQQgEhEbQM8WxNNybFwyHZth
6FiX5TS+G4EtrsKiPXWE4wMi9n8kRo7EbKW1m6BQqm3ZStlq0AGYqmm/RlcSoFP0oZjd/LWtOg//
wn0zGxetrOU7pwHbyuLUb5yozldKNP30u691jvoyz74/kMLmvWg+UBn0Yid/6zPAJGrZQcUtHlXQ
aquhxlxeld6CPFkbdcWyUrXYj4X61zR/R/drq/HO5A6meaPV/JDZJriG/goboDoAOebpBLOXlR73
hAwkaVirc54CsDK+qJE6A/hmT+lERbimwwdk0k2Zs8BOGWZTVZmcIxNk9RyQtzMSPArGovNAi36V
hjx/7vyfFRK6HiS0F4noKPuE+VyOBJCyaBGcGlMWj9lyZUU9g8fklcwVqkyEF4BIDj/SOKjPyqRh
hpY+d32vvGjWoQdBuZb88FmBF+IWKBu4I/8BRDz1PfbiZ30eD0Uo48SVZOehxfNJgSKzmRM+DBK9
vReBJz1Ewd6p2o2lYp7oFzUWOfrw0ClRzeazrbzIRHSw77t7oB+uXk8DKGT9oBS2tJKjKANp1z1Z
c0HCcipmt/Pz+n/YOq/lVpl0DV8RVeRwCkLZcpDt5fWfUCvSZGgyV78f8Mx4amqfUOoGybIkOrzf
G84iHU+yh5uL1RKlWejrSq8exxGNWWWWEF/hdWFbT7U/cYhQqSkTdT1pcQOpDElk31wHmjOpOaJv
7EPXJ3hnJmpgw4AUWC8clwUdg0kEkK9FpXZmW+4GY6+wdI/kCQzbN5tuhsWhnlNPoA9vmkQPm7lp
z32Gcfrj9rBB95b7/3Vu0VU6ysoeDq3an6oaoAt2JM/aXkXbTn++QExGUBrpfjEt4wGxR4na2ZQ+
Ue8TPhpLexZeou+tXn1U9bo5QyRfuMMSl7gU9se7doZk0uvzH+YqG5nM4j23YnWTZ2XgM/vFZ1vH
XKGMg6h2yKDK3d8v5Dl9T102cLPTJH6p/9Rt5y6i3tep6Z1itKqhkw6/6pavR3jLU23aGPjWeDdT
ga/K1SR78B5lniX4BxO8aovXMlmaMO8hIsv+T+HgWQJR18E2ta7DRUncx0FGp2JxlXuEwW80JxfN
6N9Kq6v2OJd878pcCZ2o5cvD2BH3n+FBtcVACZ9CtdZW9zYZ/oml2eFkmNiHzKagUo/9PhpkGfB+
s0tRTAcv4QMpajxb9MIaHpqKD0vLxWsxUtfXG7YukThkabFfAJSPtmivRVFh7ZNVb2OtBmLNhiGn
kpgoMtOoaGb7roqussZVIuNmVLXhqY60j0R3gGpaeVHZbwT9MgwhykXrrOiKALPPzFMuMLmQXfNX
aFXlk0ltqPIvLj2pP5kp0eRtTmBq/NyVhnbEoVfGvbXDAbly2ruai/fGVBPfMya2vm5xSxw73ktj
xF84hpsqveKkaywSMjf76KS3+H3mzoHTXusu9117tn3hlQS+F7W7ryj33HooizJuu1tp9aC52JFg
poYOqxMqnpRt/wamn/pisD6MKkaRBeT0KFTvOOZ4nrjtuVLmP56D/5XlfbfGgvhPYzyVVJ78RFAu
ZnKegtmCzlfpnhsAQ09Hdl451TXcbPKiuaRjxxjsTuae8Azd79ekTyPX3hF0T3BX5dWcXW+X1gPZ
GRniVDGml+0wCCu9UB295IW0kQ7bBTTe4e5mCCxAlvzCVvy+k39Tw3q3xvmX1DtqYIl5hYx9qVEh
OjM4omm7zQ4fhG8tYaOhU+av2Ipbt4np3u9kLo913BZPxQwPT0n6Z9EvvtkXeViwqNvpCLMwxUpJ
+NJGuLSFHfQaycqNLgwMgdzsKAs3vhJLE+H2YySXxSusU8RK7SySTDuno4FCMymXS5Vm47HEBPkK
Ndw4aELMD0NSxCxmkbVCj2n2w0gwIrUmLazTzHkqujgJY/nQ9Mh6TGFTTCUAEu8MlsRlQ85hgvlv
sLIggy5TqZubUOItIaxX2/CIC1xE89a2x0GxyRsoU/eto2gfSMfqcdtP8BjuoQEZM5FMWOSr35aG
nZPWDNWH0lAT9bJuOtWWae2QvLZ+x3D5MVkofRJ0LR/IijvIyXAf4KmS+tcL44MJjGRFpFofk933
ZPgKlWxNi/wMcJGPGEMUn2F9/ABPZ8OWNcOH5kWDX8CS+vAsrJCsxZUfccUQgY9h84GEbMJUG4u3
WDHOBA7qN/wnPQAJJ9ptzVQs+q1UUBFNycfSZXWALsmE0x13+8acmGRN85zY7Imj2BxuHSaut5b/
9TK5cg/hjL0yE9Cu9gqklrljPbDWBlHynpRFKq9dxkc2msFg8y6xGMqw8p5GPJIxheljY0VBcfOB
GgXtNyZBz55MLbChjO9VVWkJTml/uENOiRlvEDT+1Z2azrwf8BPZwRSyA9KwDH/QjPyxsUbHn0Vm
hBkQsG9Yw0GvMo9M8nTcL/VtyJr52LdpdFv4X5TUvsJZfMuTSDwBpPY+nlRMWVJRH7FCx9GvXJ5s
c2bCruQcACTArsO5m8IUO1l1SPsAMUO3N9YQ1L5MAxTx2aM99tXJW0haxdqRDJZ6+afqK3JGquXQ
kMoXzrX3Djl418sxRfjC/R8tMH7nxhX8KzbcEAKHuwW2tmOHUZbEfpQDtLYSHxzBw32aIhkSER5f
2pg/2Up209ehO84Bruyil7se71AFHzYmboHwAUAAL9bICnqvcHy1qChEMj10aWS/jLUHqG4V+7Y3
an+sADUqL3Z3GQFwfktlOWyT2t7NrhzOGHXYD6nQUn50C7yFFrhMMxlQS5bQj06VXkujgaRrXGes
6cLBmtML2o7mwMLf4p094pvWHDUcM4TSRpeOWxVzqPqX6Sw9QWzCOg5Y0SRJCoQ8O1rYdVF1qGKR
B2b61tpa8xTPk+6DqP3D6E2FeRTzubT8YR5qP2lj5dGu2/422ZPil5TrH1oxigDPZv5x1TsnRG+U
FTBP1skn0G7IDT3En0riQFlaBGg7moYzPZ6XPqa0rqplN+SNe34S061rqTYSo+id48glMbVwHzBy
PwyxkvuDqz6aADqhYc+zr3XKufOqNyFs51p2yh858UVNlmY8mHVThu2c/W4N+DsSU3GSc56qXqbX
fBgnX0lnx59IGeiY93GFYFpR7eJMkHcUzhHpQWJAKd1HEaFrWHcIR/ljTuZ4MSPoW1OdBEk/WUEr
+J30tV6cFTEgATUARuepOrnzQDKIWzVXPMduqmRLZUAVMYhE1IncgCzLikwU9kVOHokuE4snTQ7t
AZFtmEwKkrVGLMfCyluolfVr11bPigrhDYPt9uC07XdN5HpgSM3kDsu5+TzzceknVHJLfHJjUotW
TLQfkizEDpoVfKzNO5XdR+0l4oxGSaV6tfzTtgZcOZYFO24KNBTkrAfLNJE+1Hvf86g0/c4ZwDqw
aZpyvKFb+5FS6XSbIBniWdTuczd+dzCrCSdPJ81U5OEyxTab4YEPaBjE3o4jNRRO/k4g0LRrgMxC
LFfVME9gE1ZKjNGKXl/LCT+sNmKKKmzT8B0s4fZKOjhBV6RdIKLkAAaXnzOsd21Vty+s8a+EXXbY
mKdPhqYph5obyY/mpxwCx1ik4rllPxtbFJoNl7qJQFfSNS07VlXqrPTZ2dVGPB2K2tZ2KQQbX7jY
yaaPsZgsljftEBQwJHeWkz0nnrjYlivDDotc6taFuh+Q4x0XR/VQ/GJywhiOlGbIin2P8fvS2xV2
XilZDPip76NZDVvHlT5y5XwfeRYjSSTiEJen7xq+O2HTt+NdK4CFCtQ3ja4T9eV5ZJYaGH81UTrt
CH+881W5YCzuD+DPfC8Uki5mY+fkcGRiQDnY+o4k0URiaKdHBTSfSbwn4DPoXAMFbiCk9k4GA0uK
fWPhYN7gBAE7vOpemhwJl0Eh0KPmLycY9Plkzr7KStrsiQZj/PmJzcJ4EWn+rETNEgyqFj2I1vhu
m9Thl6E+p30mTuXMcG0q0Lkqqhm1c3HYZSI9vZC9u9NIoQuaRsMRqYqQzkXwlLL23OklJK8px9Mx
bvwIg9WDqrBnGRpLfh6sBRaEWRVEI9nWc+Rlyx6NJmEYGYLUflHYqU9FChHAa05EXvbnaRTDeXv0
dYhtsz8XKdQpNDXM1A5wO/z2w1zm7oEvtz4buVqfbfCufbdUtxmz3zOWSMs5Ldi0eeiSgu3V3I5i
QJ9Ph4YCIzY0F9AL1wfqvwnNk+esKd+lWwCglOYoj0tSsEX2UDW7+YwtcT+fR6PHy9xpycK1taLw
LQt3Fr00T4OyBuLVh2leyjOzSMkmaIpCq6/e7QRWQDfEFa8P1NKSs1uYVaAkVcJeyo3O24HlK+vQ
JLtZwO77SFHleeklflmjdZAMh2epZnAXE5alfiOr1zTrfrVd2X9+Vtuj7WNKFgvv8zlaXJxfenGI
1jTKbZ+xPXLX5hrNx/e9k3U58aY52FM0nu34DVFTzUAXalj9s7ugKus56btRxqUWtGqTnbpuoeC+
7LQxe9YULyXNnn+M4puFDSVOEKzg2zaKAgap9Q00j0PV3jKF4QIL3SDJ5qjwEzWKDkveHMe2wVih
JBUxTU5jhy5RYbEGDXYyzts7wMyDurCzvFG2q8mrMNwl2B62WlKz/Y0MP+kgUWIVgvz7tSo9tlaj
CV5DINUZooN+FmjMg9pBx9b8dJf8J7iLyycb4SE36JbL7pg2GVjEoCbitH1XtT5VZ7ketuZ2MDHz
4Ge+fpX/3+mIIPr/unp0vHY/jwJwsTxo9RgQtvydzUkftCaucKGtmBiMlNlxaAqPog4XxDX535Wb
YpY++9KT8DOF00C54zDA+NvPvwWZElQAJ03prlHeJ6dcKbBzf+yJCdz3yfBcRvU1Yxw445JNQlpd
/MBOLgYob5Fp9WTMLvpjizc8cLjihk4mFR9iNOWEOF1eoqYoGbuXYq+N8bNDVSwq7uSuv0nVNQ7D
ChOollWcpxibSCn1y6wRbXNAiODce8k97A0ufMmievU2GSTxA2WMkHIYT0plZ9w67nwTM4ZslqO0
rJrAGT3MG5ohP0eqwJe7U1hWIca68NGc8IJRLH+h6uwrEyQt19D9zIvNO45HZV1nZ69afvNlk08D
afVkjiXZmnra7RJKZPrYebdRLMYBULlGNRakbCF2lmyrR7VA1DiwjQpEXqd+n8fVo5VSccbICtP+
8oDQftlRhfG4CsNnY8LZlowb3V2yD1j/8hKVqRkQiVzuWmVprhnGGYZWKe81w+zemaR7yskleiY7
k5q0tXS/pkwcnKUje74z744jqgO3QHmMwNHfqzLCMSFVfvSRWQfY0w4wRkV+U1T2Pa03hHWeiB9x
nbyBJAUkcJvfh1g8Y4jq/CkEeBrzgl4q9mMesXwp47TxpUpsm9naP0HmXbAAxihH7fojYMkLpUE0
Ln2D0Aq0ZFfFbXbScZzfOYW5HHExXQ4LpYMdLE1jtyhdG7J83FX1mB7UZsU7PBCpEqS1E719g+hP
XKEYXkr0JEZaJd8jpbZRglNM0O9ZrVareCUJVcNeXtpR/d612kc5dg3u5AgmqfZThyGrJXVTDx+g
sdzhuZw9izQrELdmM4NU2M1FfmmKerxYK3o3Q/UdDdkcvUEqb0Rfh8IzgFRR7O2iPg+nOI3fYAr+
FARNPZhSV14N1VKIz1DH0O0LmI1WlexzObnfJfi19Fy49W00XwA+411uYqc0UEE+4si/c3Fy/9F6
oxE4maM9sgMwTrJO2kOL9uyemB2qdyrhfyT2wZaX/pYEErOe1oxnr8rrNXvEPHrGIJ6NJgLaUET5
K6//YCuQUCNNan+RtneHbRzt48RBMNwsZGwt2fIIxPB71rvTMovuPrad+9xjbJGU8JkJmpYHnMAZ
jrb6d86bPW8174xaWu5/tT9Pb1dunVt7O2yXfz37q+//fYnttL1E2ziPWZlyikE+UX+socafD6uR
uOOtvT3a5pshUbloa//Xw6/zX5dvfdvhf/q219n6Zq0rd4ZaTz57uxzvt7KsmVTXh6rDEgY49d+9
xmCyIFjP5wqU3ZA8tn+1P5/6eRQzZUDFUvZxJprzdqjXaXY0K8zHtrbZzv9u417NKnJIr9Wsxy+W
pnI7uIURQCKKX7a+urAZ3VNzPGx920FFm64mY3T97Crs7ClmGPt6Ukdy48nEzf+zbztRtoukvrN6
Ha8v/tmXKq2vaYN6+upjxxlgZm88VmauhYlbxwerxmq8UhrrptameosKL2Hqm7of0tXeC4jId11V
pvMSiSK0CSB6ruaF7VM8+1i8Vd8TGBeHlADII4URVMuoEwnZ22m6N+wGmYOlROWDXQ3t1Uzzg8sc
eyHJkyXSkuUnlGOHjC3/pcSy9YC5y1spc+eG/FANFbZdDCux/TB2U8oKX33Ipu6MGUpxIb1XEKkD
kRsW1RIanmYTelLgH1ctP4SD7SQftHcH0H8oO6l+x2+t3InRLkN10Z4oN/dsMXtsGqtsClrcDQ+m
rKj0qBgyaTpCOZbeu2wY1LfGGSGMdtmqpgBJysmHIoIqNj7S+rfR9i07ZQiNfWy9L6NZ7wq0cy95
gklBPVU/wfLny9YlY72/eXlx2lrbAaFwvG+Rfu+267e+rtffPGuQ1601JNVChWl66LrZg6fWiV1V
ZONLKaISGWwyhko8ji9bX1Kx2IUcddtaHqmcl6Qp/mBD868LlgmralBJOCjra2yHQv+bjJZ43l7G
q5fkpBJd6H9dMPTEPZiKzE9bX8N9e+2U6Oa11PDnaodfYvykLYVKiGc27x03XuEJhu2tL7aS56Kk
grp1WdUA6zavfm3j+taVjMscqLWmH7ZmOrfVywwq/vkKJRHYOkSljfO6kVyhgz6ldeoc05bxFcuW
f5NuPy9pF9bnWvTtq/9/rwPiL6FDGvp+e72vCwctuU9U49jZFGOAg1P1gGWgeTKm1T+nSSZ/69sO
Q6VWD916iFMFOqc+L6vnE9Kc/5z4uljLFudY6+rTV9f2aM6j6uGrz02LP6onWf3IxPNd2aYPlU7J
WBDW+/noq89WOkgE0jtvVyhUmD4vK+MmPyo6ZJhOx3U8rU3CUNSie4sBgsKINcN+a2qiKkhD6NFd
O1b7JqJoJfmsWOF6cTKK4pgKAal6bY6ir0kMhmeCVRN7L2G/GV4Ov60yQZjXpklR/ai3MPe7sbff
plKOR6GwYtvO5lObHTtZz7vYRCs/dLZzjiSLEjsDnVMVTWCSltuvzlCyBfPE+9ayCi27r3WCrZW4
kf1qmBYuSV3xvHVVfcxqoqiX69aEMWUGZDh+b/B52OlT471ayaBgCZYooeV57qvG0uiolizqtmaF
1Qv+ayxytosNhosnFAyX7WQEo+P1m87PegjG2eC+qusndX3RrGO523leed0uJJaYNd3ck4xEcKG/
9Y3MPKFocaHy2N97ST0gomHKm7aJbZubXN2JgDvXMk43IBcJDFtfjk7e7oUz5HA/4+RQ4hbyGo/P
dS2LvacQDJ2Pq+/laN8BCSyKv1ofVrCy3pRsAJ3K1W99nDG7z2XxZmnTzDqfUY7QmJy1uOFclgS5
Mz6i+dugTBRbvOgdO2giOCbMn73ePGytph7lq2OcGB2T0CbL0oEVdHZ03UO+lWFFXUbirZ1AsvKG
khQyGv2olbETCGoCK8rnBANMlzDJzX4PjLViYy7L+eI+90YZmHoRHz19h/mo+2SveTDbQc+Phqk8
GqX81usKUTxuMz/yprHhqCbw6py9i2Igi0wpHgexXSM11PEQxDWr+tGVw1MUNeorSYYb48aXphfd
C3CtrGGtrioNn8+swS5aD9sjsa4x7Mp8iMs4/+zSpig5K8bwkrb5r9p2jWNLjMVNWPjDzSxxL0VT
fLD2bn+5prgNU6H9IWZjn3mtxWbpsZ0XnwV5SQ2766BLWJnvYa78LV7516KUfkw2xpuZtqcEIu8v
rcAYTnnKiTF50e3qgjNvua80cNpSScvQHdOaonfyjUVfcxhchAyi8wT+9Fn3ZA6VBAiwk19S/FDj
xT54rbay80t3N6tghGUqKoKzXUBbFWasvejPSzqWr2OfrurCXJy3Zt7gNwpp4ory3n6K+pk6VD82
aDWM6SmR5qovS9s9rOD02DZ4hFhKeSTuiRCH3JZHQD8ZmqusnJ258cLSnz+/UIOkQLGDBBWmCoV+
ilq5n+pdAnhj+6b+TOrgS7wwAhkMtfs40ivSvktYX4pWv+lOh2dtUT5b7NbehsXVnrtW32/nsD71
Lj0Z2v5k/+4ZnN9M4Xj3osaen4iMt8EyZlK0CWFez00YwYE1k2q6tlT8Fl+aAeR+bQ0Ui19Kkni3
Fn7A9UvrZXsR1dZbVzWE7ZbFYTvXe5b67ETy+Nmqzea5G5eTqWYqthb6MWvy5Vash04dL0va6cA1
tOq+HfaDq9h4Gen2bdI1hz3vXPggOngGbJ3Geia1mGPmubgUurRv6qhxNpq7JTSTZMCwdm1vp7YD
BUxinobb1vh8qaJpLYqqFTBqMYrjOBTAkq0gMM21pEAwhHPY1qzWP0ARwObZK+2ZqgV0IppTp3P1
4qrLqRfz62dzO6PJejgnVnYr8uHDrNLqVIB43Yah+dcBB0wnJFeuCf7nxKh604POW/m6tjMczfDb
SWt8CORYi6yvknSAQZOeYhhgRvGjkbnTXgyIKbVcjR+5kxAJ2MMyX9cMo61vu84lGuhxa7qN+YTi
DpRhff5X/9K02BdJW8GXMZYs5SJtJ+ZIoDjlUKZdCcEYieWY1xSR177EZPTECCiGzmF3r4VVvtVR
I25by/PmaKVWkki+nhy7VDkoo52ykS77V9Uu9Qeb3A8YIx2kF65ooKWyOb5vDSGpMeFXv1y3ptZB
5UCMlx+2Zj2X6SkaPZjD6zOx8SwelzH5/MNbl23NQSLz+GVrWcUIxDriibI1E7LfQ9tcgej16cK2
6jNaDNvfmrnuWE8SCe7W2t5fF+vH3C7k0/bei5XnNVmpQp7m+r5XYtGsa3W4NWvC5flplqTdbO/N
LrBBSjGCWlvbqyXR8JTXQLwUlimtWVqpBkrTyrNNsQAgeW4Yq82qPao2laGY8M83Z6pmP41j5wcE
4ovkEZl03E+ttfwFt3ifQUK/1z1yEYry4k7ON1M9S0OfjM76BoMjP9aVHZ07YxGXKFKSI3XI8lhh
4vmoF+l7jj3b7252XsyZvHbHrX+XRWUTuZxNZ60m1NhNYd+A/SS/TxTiWxB8NgZa7Ka3fCpTmDhx
fKFEekin5dVeSsPHjhP6Rp3bD93SV4tfNBo/b+7UIS8et4Ni2/kjaCgW2dEPB4fHYMhQoLtjQz0t
bgYIV1DP0dCpeGz2qFi8brpAll9Osm1+EpupnCytmF+tvuFnNz1p5MG/k7v2q1zcgAI9zt11tBe2
+NP0RfaYpAm+tbmj7JHpq++1lWosWru95ur2m7APlMTyb8ayjHtDSdLQVfJLrHi/WK6rZ1Mmf8yk
+tlPwqS80zhHDcYoVTaX4CyMxiaZ5jgwIX7whJH9M1IkymfLhYrUUKx0uLGzZvJ2uqC81EAEeKmq
A4h8SsmP0POuTAl/wZ2YKoH2rVli72h5VD4hvudhI7DHNB3ISiNc+LYdoqv1j4vq+zaW2ouhtmeE
6I1PFSreqxWImIXdJcDLBN6rsjaXjvE4Tf/oJJ4Yz1Vnu8e56LE/nCAoywCcUTlqCnU1NE3NHu28
jj1IZJx/QfVQbzkI2A5/JXtX2uWaI7ucmB6x2LTj703hyvuiM2nTpT86FO4hdzsCxJSDYk7iOnnp
r7kkdHEa8c4lavHvggym7nSPNMC4DaxBdM8Ub7WD1VjiHFslqHxSu7u4VI13mJ8/Ryut/5q4YFIL
+pP0fYP4WwDWVzXmEGPX+yomdSeS+8YXtdKSpwaWytbaDo3VaXuE84Bj6xXbIap1mC6Td4kQq7xg
o6JB+0uPcCPClCyGx0Ez1ftMaTX0dGrdW9PCSPFWpHjBrycH2IX30UCMPdnDdesyUB8cnMRudq2b
aXdvMDpYnhCI1tbWpRkWhm9dnp23J6yzz8lgZmbtkhwrLVrdPuv+PkdQWs2kft5aZFLFYe5GROis
Jyd2NtSru/PW8nStvydKDkPAwZJ+69PJCDkNXmmjouEJ24FFyZ5bg3jR9Qmxq8xh1mQqbASuYFWd
PvU61Yf1pLIephHgT0E0cNquAOoez1GFC9TXS8ZufsZ8Nft8z0UyVkHizfc5Be6YLU2/txHRaKUU
57wQzHRVl/61OxtfadZOL46wX/Lxd00m7iuYZjAb1kQ0SWm81lP9S2QYTWzngGjVAHNK7whj1Hy1
NfIMlcEbw+3a0tDjc0NMTbCdHVUqPcSvW4fIfGK+ryHDyLk4e4IVBFK05GU7YI5ShU0WVWH2nz59
Tgo/bjzMu209eZnjCZZX5OH9bR5ykRh3t+qNe7YoDPpwWk5bM1W8/qQt0EO2S7TRNu5MYLNTJJ/X
ly1l5AmX1qO9Pr2J5R66e4QhOtq2Rumdl+2QpS2jXTtOJydOnZcOb/TblCrIzHUIaJUZo44mkeaw
XQwiKJ7xkmNPE3VlAOu3DfmAphBi879eT/Z/q0KJQpT9EKOITXlBS6cTcdf2n82trzPlTmrMZ1uL
ENPqsDQQ7D6besSzluIQQdx43LomY6Gc16cqsR5NfN/65iU6ayU3xtaSnTIcO0tWXMEf3Q6DPT/W
kEMePrtQQZJoNXq+4ZTJk+Nym3d4Z9mzbvrUdqkUG2P8sh08VRzUylhuW2uK3PaWSPdQ6XmSBUu7
osCycfztbJUwy+eWDnTWZun+q8/wsj+eqjLpDXX7rCWoyv44ZItOrfqyHfgd4eAxUK3+6ovM8U0m
6nTF0Ud9GeIovUrN/vi6IGOfgvNG2x6++lziyrrp80XbYcSwAhuhwJrs+aon6VM3ecWNObC4UUI/
D4ggzluLoExb9beHXi5etM7sTv/Vtz3NaqufsovinVY3BSSf0nneDq4EJXQQBKBQp69WFUi61GLk
uMvQqN5lGtX3KKuB17w0OWx9RVKCVaZQzEVZ1cHcRKrPbz86bRebBhmtFS7Fhgn9p1aJw8oZZsO4
T+RdLvVLB1D4gN+rvFcZJremUKJARQ5K1sN4cXpz4APgpIA+taOQClNKs+VdnWX62KbuaTu5dZEz
pgHet95Jm8f6NpvTxZZi4PscjbfWHOuzN8keVtAcFw8yrsOyDhV1rHdt68idZsULxKOo3ZuK4TwM
GRKNdIiyNX4sJMftW2tEFXr44RrVw4M1xDi2C2pS6BJ+Rn26twSGB5nFTqdiBeDVWnOcEvv34pYw
2ORJHWKUE4qA060O+q5jDRK0rD5Kj3whvfAXWMLBlCgISSNm863aBz8Gdb0JB11VxjOMiTdNOskh
ZkIA4FahpENSHgb9oi54zXWaYlBcQJ3kKod80t/ZdzHYwF7Y1YZ6K/r8RBi1cm36GnnsMLqnYkAA
ZxhvaTumbP9c9smwPYtBuPelsLTzTEUbvKMDTDQqvyjnDs2Ur04k6eJOTPl2Jg3Aq4fM7xbmSDbD
D+rwrInWe1pN+GZEDPbcmOgeY+Nqtqm6VwhG8avkfVmWVypCu6TT6n1ld+5lKEiDAQjg4ddhHnGA
t43mgmnZNxgWEyl03bCvHUGOq65Ht6H8zcuIM3Yrho/v8xg4pkHltlK0a8FatbAm9dnIeeWxKZaL
heFsLCCJFAqRi5mOJm/Ojq02yrPsIxkSHznuWseJr7krl53a6d/iifwAGFN9GC9INNSlfragfzw3
uvmmpElzLHBrvGKTCK+EOSXMW6e71lUFSqKP6LeWKIibebhCJDj2EkPGTmZBKeuDV0zeqTTmZpez
bmBrZQrfIE0rkEN/tJqVERj3WmiOdraHIPwTq6Yfa5jo0aRKHvBpDQF0uD7AnQ0Ej9+N3SrQ9bKu
u2gc8UmAroWXBDv23mC2N2zUNurPJtNndHWmvIwQDU7KCngY7fO2otbWZTVLFH5GPXWQXGDMUmZY
RiRjp77pxY/BVm55js4Xc5QgT59hL/9dXKM5U39TmQkzieeaep6rRnsxUXiY/Owp99pyzODfOE1g
lCK59mUTn+OJFUahcf/OglyevK+x2xvXX29dAFk5A54UTvJGUC8LzAwM1W6kPAh7/umaqnud3KwL
gAI7ART6SXYgW43aku2c4kGQCBEjptFKQssquSIl3xAClMGYJr/boiYlOzGPzOVDBmMFeyu55wP9
K3MiYiZgeKoPhHJ0jfUEMKL7KeyyXZS2d89t0Zi5LelvqlGdhGQcTBUzWMahDeoeTECWT3iaqtch
SbRrtx4ck8BKBxFmXvpCj6PQ7GHqCU1nh6I4PWOv1YZxlrkBpKx9UsW/FSoPODEkOAoBZfwarLF+
77A1Z9I+9iUxdo6LpkmPqYGoE/JUj+XxQ9xC5Fme2ZF0AXXPpjZvxJoXPmkAb3mqCv68Y60U6t2M
uPhx8gDYpd7PVIXjF4xVmD67BoZSpPbw8M30OsG89InNYlXBprDPVDQ8Zgd4veTx3vZW99lm+B27
UYFBmQG90dVzSAxmCfEwOoiFqEYdwbzfa0iZuj8josEE2m/YetD5pO2AOju+WXZqgNF0FapVD0P5
/xg7ryU5kbVdXxEReHNa3rRVt1rmhNBoRnjvufr/4SvNolfvmR3rJCMdUAVJkuY1nYIBi6YqyEei
FxMEPhsLpfsyVdOnMbSbO5Yas+3cTYiiZe0j7OVPrDQ3Gws9+bM36aBAdd86O7Z7UfzeuyiJ716s
BadTxd2PxvXuyohu1mwUurG0qk4zCktYqH4fAKIeq677jveBASfYDvZKmUz3A15Fdw6Lx8VCIA5S
/SV13Cv4h4lR9uhzB4fvI7N2VjcC4EtxvNeNzt80BSSKLK5YqGgDk1230jpVblVsrMRuj0DXC0Bx
ngXoho/BATLzxcnZlNILNLeQjn0prc5llafQdkkcH8upNY99XXlfU+8VLlOntv7P2a53cN75lnoL
REb5GRn9Nrey4KKPAf6IldrsmKl7px7g2dECBwruhC0pxWfy1kG4d6yCRQ/V3DFmvPdGa3hKBzSK
HFKIyST71gxe80yxr2tQDYVzS9qM/M92DUUMm68Hy2fs6A0WOEY3A+hZed7BD3xvG3qor2l0fVum
zBtdDXgVfdO4znXMtimjjz/TXN/nQTJd1Bn5JoSinrU4+MtaHKKg6tyhWyyNkdkZH+IlWMRzzHzU
7lSzbp+Hvp0e2njpuUl5ZdA+1xFD3apOj2XgqOE2dXiMYMLOSsv8o+tTRh5W9JakOjqHZvFkGaN9
GPOI+fcS+O797HXw0Fot3jfdc+o0ySVkenBJfSfaGQUEANjY0dWyzWc9MGBveCMtCrvHAcQV63vx
flDq5xmDShb2mJx1i8CZlp0EA2YvO9JQhYElmtbidQUC8z+B0rFf1KNtWnjYZRghklp+CVJjzLyW
ZRb8Ghxkz5eNAGXW97qPrSuGW3AkMAP14FgHPWisKRgmZpw+x7I0coeg9JmGWlwbc3pSw3mE2uHb
uxFVmu20JJEpmLa9ycMyUxegmROm8Eo6pCdnDXSRZxZXEBmnYYKRAlzpoTO7Z6XF/yk342SnY6I5
bwUzFy4Efgv82d4ZphxOwew+jKmmMRTsskePrblL3FRvM3Cjz3htgDYsfoRDlH5Wc1xivPZPt/Bp
3LJK4CxLBfWsM9NJaVCO52r3Ekx8wgBYecrOl9pogGOvVkqoAPb0QQpMdW5e5DS4Vr5GdZCfs7ik
yx47Z4dhN/AQthQAwRXztkAxLXIKm/fC3pp0efeDBqW3BiiA/9pwSBquh+SIfx+zwHpK5vAtRAoO
8dHDhLXcznFGCO4L3giA9i7ReLro/6bKNu3rX8xr2ms7ZMd6rPlMggpMHCyt1QSSUAuPs67PTvit
yEvjCxLyKHKOn/QksE7poHyaWQRY6K3qsTIX44H4u9oZp9gbQ3brd148e+cwsh5ittK2qY6sUqvm
CP8ZIMbtq2vq052Wxq+jyiw1rAJkFEMow4tJU+Wja5M0XA8o0NtNASLI6u5gs+ENlqu0b8IR6fSr
GxztBdiuizS2MjERMOmntQVXn6d9sytS23uCBeA8qtPrDILvyQCMYOdBc6ji5EvJwAD5yghoZclm
qiTnVM8Y85UZAE1FOSadGzJ+MlLgL9YuDzpjW5VFf4IdUbx2Zt2cRtgiW0nqidOAN64t/EKV5p7h
Mv+n7eydXgZ/TrYyHYs4na8Ifzz1M2Bv07WTxwApl8eg0Wp2hpHCdHon3Vu1XR1LaOBGADtDSZCY
y/h5C1PDHZAKdkI2GYtg48xjtmcW/WiwzkEvvsuyxy4ELPYjt18xLWvP2YKZKRdcXQjC4mw6j9GC
G62NST0DjAgXJKkEkx69KYrh7+P/ZEm+VM+W166+lAH31Wuh022yIiUUoGejg5zW6irY+YcJR8iT
Fb7GDUgB/2VsgvQQQOe1WwNu0TC+IFSOuiGedzddDcEICW4oM5kwuLGDkvciuCEFnZ9Ckhz/mNwm
uIDLsuY9g1V+iUTljbYquGQniSYzK0iwsPh7Q12A9nVbHQWhUjlOC6SQsWx2KXrg1kGD14O/SRRt
WUcgNwCLtWdX5Zuj5LtEDXDI/dPsB1DMy41rljNKbMUn2lqiznuBKkrmOGdTdpKakdNyZ5BFDH4f
3y4nkVpaqE4b28nSnfzKBK1pNmARPltc/Y5Box5FYcTxtpDchzMYzp/d8vxGM3JOOWrUsgcsQSL3
X6IxU2S2tDC+k2SWVcewVHT8Z5bflIP7DPDOOMkl5WfgvBxG1YA4SV/tvbL8U45LxwCO+fIYb09Y
MgUvlfvsulgLaXTNG0u9OyK1gicToI8b9ldaA7RbdqjHKR33ql7/EDywBAMw6q6GX8d6KpIjWTXY
mBFVTkof7zZ72fS+4bxCNfjew1zce03IE7WRED20SfMiz95O3MeBdZ/DXBt069YQobfH0J3treKS
Okz/2hDNtvWhgR3WgVA3wU4elzwNiZV4fCYbiUorsELdZ1+523hFn1/wdfRAn0l0CSAi0DaUY4XX
O33LkMwAEYA5YzWMEei7qBzt4EgBEtk18sstOqc9aCg7Osn1xqZhjbrZxW3yZR71i9y5212CWrop
rHTayb2Wu5K0BfP/VkN8ZcEAyDORIyQmebfmIGkJjBTHkKYLgWgi+jh0n+TB35qm3Jq1NUhJzcrn
pgLDvpNbIT9S72vuTxsU+pYVdEa5VvVHu9iGIHd5u79m7vQzwCvjkDEaoNW9aFXewrQND/kM0bnV
p0/60nXIZzuLbec4BzNIYOz4Nip0TpRwG/SErCQv/p8Lv/sNEsX2CrK7Huq3mrenh5oMDqW9oe+k
C5Dve4fc+MkGkDV+SuHy3m7uDU7x7q15B6r4eAcNtvGKCNbk3ByMMNfmfeyG35UuU/frHaYTvOiO
C6V77VzU/inDxPIgv6X3q8fUntUDGo39vG2y8K4ddAWYx9IPLa+1HCmxf83zunJGOCBMdtIS+jg9
MIRh6rI0BH1E2smEY702n6WCXc1UMPXtgATbSVrw2FnDacotpiXVPncGjI/cBVz5r9e1i/Tsh2CF
vdwArrAAUta2N8f3rr4AGI3Crhd5G7q3pVuWliTJNa9g9WfpkSx9dva+Uw1gVtInJ1DoI6W+BOvb
+q6J3qJSPlfecPIacyst4XYItgJH5a1t2CCQvpAJe3NEofu8vuFrW5Y8SQZLK1T7/tAA0juGTnSQ
MlMau9RYj//YBCUtT01it2MkfYt+KJfkh7xbsy0r2/7d9WArxwZ/ap4DuHKbFHhMkQJy620QzsuH
Q/cgmgY6E9VJP+BDwT494wJ54oOtYwzqPOZz++wwNmB+eKezYjGrBR7byXMOKGWou6u1YFXnsXzO
B7c7mObMUKLR1Z0aFKzd9AjMbNjgPQjvYMoXu0hzHupdEJWPDubF64OXq0ry9jqtaclcm8mHQ4oh
bU899oPSGCWol+5aYnoCfcmM4TzJ3ZeTFOAZJzArNLveh1a/lbcEVju5En2XO7jG19xCREnmLROu
wXtIdd9s4VKE3LAuVtIz6+BQQ+IF3zAm+ueoB+6OjMle7rEE8tjjZXiCUC5z5Cn9I5/0ixcb2UGd
x2tilgiUed1JOhmNXruFs1uinrsLi+D2BTDaPyHlZ2c5oTx5idHTtwsbxo6GP+fBe8Iszr1hlv3E
fvHxPDvk0iLWzkDVVOfMcevv09tR2/UTxPv1LpaZQ0+aLJ+ZzM2snW9BFxJSCbyAr+CSDUbiHvKj
UoW9NSgnBrooo2btbzpmMtgCr1sdJ9c5TwBz2M89Qo9EoziytxmOYbfR1W0WFWlBwZ6brt06YbjU
D7WRGAc5v/wu347Gc6s/zkbeHlTTeJanuj5aieVd9zM2pmgzFgVK/1DIf0/Q1o5DkW+/pG8DO6an
JY40TB/A+O+1zM5h57f5cI8gu3kCmlZdhLUzRF11oS38KsMsuz1feRJrH7M+GD7Qf6XQM83Jq3cW
BGlkMRwDh5OCl8ClB9+hELgvuWXyZKRZByprjxbwYL/AN+Q/nblUWHv09UneGvTS3683YS2VmFT5
/5+KsdoIe+l+7erlx0jyNhZf0xK7Zc4Rth8MaBFmkIGu0tknFY9FqSKXvQ25JIrDJq/aLcq+9m9Y
/e1DKb/z3SjjdmyZu1tgAXdsCGKPwYdexq9sjrB0La/JXCAHsw0m8ztaK6wnh31yKpowVPdS/Rb1
ly9oBBikC9LbOE5aqozo1mDNm+aMLQcNpUgNmNgyCJO/swY3lKSk341lb7++nEeYOPdjga5bT7wB
nn6w2aWat+j1FmxC/eHKDzHri+7q6lmGZTKok5gEt1Mvw0JJshGE5nUAAWStLFXWpMTWYH2Ma956
jQ/HRvnnDqEO+jD6TOk4O4AA+UnS8uZxxxOm8Uv57cfPpVZsImVQ3w0j5RHeWt78I4Bof5bmGqGk
C2h6eQZh1yG5IS3ln6Ny9K2rApTTnNwy3X2kggQwRdYp3AdOiBA8pHQtWOeAUiDBWk+Sg/9z0Or8
fPv1S0u+kT3Wd+Y2nrk1Zsn19Lxj/+Q/753EbrUk+jEtB93O+q7Wxwt8PErR2Nho7VdtRmpW+pV1
9CDH/lPeWkVKb+Nsia6BPI81KTE57l/P+m46I7Wl4odL/VPeh7N+uFKwdPgYzdVdCKNvecXxcGav
oppvc1V54SVgKQVyJjQiJu/LMtsarHlzhico9DvqVK1B9FZJuls5+Vr1XYlEfTMAIcQW/K1Fy8si
78n6sqwv1b/mrYfJeyf1/invfz2VP+cLub+IQfuNOxeHNoa1y1hYPlxrcJvJrul3axX/VP1D3m0+
sZz2dgU5z4c6tysMiXenKcMvtfPCrXQNMgeV2PqNlj5kTUpsHZCtlT/kfUhKPb9HMKD/qdVIIiSF
DZGPl5O9d4a30oRvUcmV9MxSNtPqrMoOule8rN07YCpo42tamRcauaSl52csFLCiZGWWe1s68gOr
nbfSPbD6jyRrgzLwb7rardOwVdYQpHcpyhkSJuJvu3/qbtem4Mikf62zNoM170NzkaSUjkGTsmTh
wvQa1NncdY6ezluZ/yYADFguSsbXoB2iw+2Nl5uyBrdudU3L7frXpBSsr64kAxZSfnffkv5wBsmb
swTshJbwGq2d/W1gfSuX57Me2eBVwuQtO1ssjBjLCsm7meNaTY6VQAYGa1JiH+pJJ7rmvfvjUvLh
kMGrlP1s3IMKfKqhUuAaIDVYKTc0kBzLh6vEEa99ka7Lz5IsO8mdKZM+z06z6myazLFO8rKvT/T2
7r9bzHw3VFirSkweb1T0rOjdKt0WuXIH0RMjjpBJ0dHKHmavZDsGNRdtepBX9LZOKS1gnPW4+Sov
8u9VrVoN9lhns3XSsDmY59k5QSIYljikNQnqht3KzZr2rUBB/yy0NuWiO+zMFgZkdMjryoela8HR
1P2rcLYtNgAiFe0auavyXOoMKpNeFa9lDM9E+OT68oDnFtGd9rae+eH2y01994huU9fbXZc5i0Rv
r3nE5uTsmdNe7rJcdg3kB6xJubEf8m6zOin5SOZca0rx+pf0MNS3NtZ6G2wMsYoLcv+tK+LxaCAE
uNdhzJKEeoYAaXHGZ5JSS2fvzHCQ6VlKPQ+Yp54keDfVwUukZUdtOYea1Nl9GdTtRmrNXTaelLk0
d2qfAdIbhmLTRLzqEniZa25tD4CnBqboLk3cgxqFVr5HMgjDZWb2e1YlQQ1PzrnRg+YRThZ7zYjG
QjzPHNyLYvUu9cfXBdH+KUAG9hP8m3qHatyIKgdJycsQPMoStifqERWI2K7ST7HnoCxodvdTjBaC
A2zhoLO3f/Qsf35Kq+YnfMdTb2rl25ibuGql/ve8ZEhe4wN/8QMVpHjWvPbebP3wWK1nZ9cP2HDQ
WtRxhmETNHX9pZ7B9DIlLz/rampvUdQBXhUh26UWiy2AyVLynFsV+k2ququQCEYZqgTHjRFj9TAu
JSwlYSYw4CgQJtqxKezyYZ6S6kFiEmRF4aB7lucIC7MIbxVxsCsr5If8afhmsnl2bNVFyi9TKwM7
EpQ4dssC8Mb1mbnFRYzqtQrh0/AxElVRMNy1WQEmyGsH5sNN4V5AarC95rHY3qL6NfVT9DQsAUSX
6MlXk+/IaipnySozTLrRXUSVq0D4zLDYrXGCpwY17CeVndCnVNG07TSOATMICmLbA1qV2tzLHEtR
PGQ30zB0D1rSeY/zEtQZsD2btgW7mhprQahn6VYrHVzRBnZnzAmzuXHU0YXx/5qSaH64pUBzoPzr
0ObW46vI8h5RmYm2Vdhu0D019o5mmbtpanI03gDTF4ZmXmwHqDOwVm2n23rSbrCCRwYDB/DSC8u7
CqrdXbMEa5L2eUwK1lAHpI1suGmlfslnMzW2mmloFwmKKfg7s+grZTt5sNy9MGWxGVGD194HMOra
Y/8tGfKvBlvp4MKh+/NumfCZQSaCVigqVGL6+S+2O7+EeaJ/m5oEtAKCOK/BmAG7RgfrcdbYS7am
xLpWbt5f9D5uT2kaFw88Ag3Kf6t+akaFxpWl5r1q9K81qkH3bpQ8DnbVQH1V6k9xz8aRg9jjXpJS
wFboZ+TX8309bnqMOzbTUj3WUkz5YrBcy3HsYJPlKNBu6TN27w628u9OOptXOVXdmNqD44UnyGE4
dWbIoh344FS79Re0QfIrDOfkdt7amNvHpmv3uYqszdbHYrkPsheMCmcW7YuGubJtXiFaNJ/gnvcP
LB2fJYXRbvsJ0zrIUNmIWNNSQ/Ico/x4UOK+qi56XLgGAtSG9sOKxRJVYNDdoZ/W39UDy8plitqJ
FDgoWZyRwUxAs3ErdFNpj4htaltJyu3JUnX5VDlgwpb7Y48jQJdqGejFR3v8dfs7aZL7R7uo4Zwt
9w/VaRB52eThT0+bGQcT5RSJSlAFMwz3NS2tbWyRkHyXKcVS0kHu2A2PAGdA4AXDBlwXlgplRaek
11/rOghPvT0EaLyH1feyPEh5PIT1IdVRbapmxWHBWnFxC2c98NwEUXDXLcGQoHviGv7xXUHfp9jJ
vAW+He+hMMTXcszwMFwCiUmeySwbywYbRbVYixr8Bv+lohxyq70e3Y2YA/4vh6TuAL5C1Y4fT9N2
BSK3z+NDqbIauP3w66S2XGQqSr25S9uFR8G2o2m1MGBRpLyPliBHYOJekpPvo1gY+QPkdTVmcX0p
LlWUyzdrJYnhoHflw9exj8zBscuqSlhWHp4Yk6JcnDcLKD7KUlL64VBJyoVbVEdPDkLgt0Plau+O
yHRz35UAND4WLL9qKmPIjs9zYX9NsScFuTS76bWdqvTqjhGAEw3lzS5jn1Flt2KfFKH2opbhcOfq
9R95qKkvg12oL3pYP3R0sA/sTcN0QXSQr19voP/l1K1+tYGWvLkZp2Izp7xPUTN4iyrlC3zk4FEK
zTK494vYfpIykML7FELdp3ypOdZvyaCZr5ofFZ+15CxV+OZkL2rTQL98COt0uusDLb0flwBxP33Y
mElN1G7mDX02aLwlKXUgmrKR47t/qcmAe6nL2iXMpfQt82p0tDWj3UrS6JvhZOCauitNC0X8jW11
/SdsrJAuskZ9H0GofGt6bBFU+HrHhV/5BhSs3NmZb55GLDOfSnt8BULTfbPKH7PbuF8sxW0vWRkh
nWTr3bdmBkihOlb+hIgOWrph/ytw7PYbkC19N8e4iNuN/6oBPkPDth3AexKLw3Y/Yw0LX/jvLGiR
vws/5OmWAyo2m+/Kwav3+LWVKMw5xWumWPalSbsJze2+eNVhTH/C+n0jhQowtlcQGF9g8qr3kmX7
DfsL7lAeJTmiJnHWvCnZSrKOXfNpZpdOUnLGblDvVbTedBjR12CawSUUVmhca7RioEXXPipsdn7P
onvc7cDiIeuJtOy+8gfnIiV963t7Uxss2h1uJ7NPz4NgTPTWq1W/heMTXSTpRKoNTCHqr5K0MSLC
B1L37yQ5K9MPl2/+g6SmPnuiv86fjBh8jz8GpzAalOc0a9X7yIdGHPrYVQ159QTQZ4/sRP9ceu3n
JG7VK2CF4VnXW16VGFX5KnHvpILko4t4KJU6e5AsCUxUjiIbAkPd6RiuFrjHZnbwLNVj6GhPufnc
NMXB7dwKw8J6j4x5ebUnp7hGHWS5RSy4vCoqQdNVLjKz6rSLvR7RcTtqHkPNwQp8sl5RCEu/qVbl
7dHNLE+ShKMDpF4v3kpzRJLS6MESLNW0fvI3aPqBqslH3JXVFqB4lX4DRZ0doeM7B529j2+2ZVxz
V7FezDBz7svEAmCxVGsn9a8JtOSZT5t2z7BOw42ImLsEs5b6W1bwGvC7f+etVSRmKe1fVa9rx386
Xm8BwHR2/FiPc/MwKhVw6cJF+g5Ul8mX6K9c9T+b42C/Nc6IPlCuF3dZaNgoG1cpiLhh/tJX7rNU
HY30ro4M72vd5OrOrWPrPi09DFjqGrUUdGE/Q0f6qSB+tY+LrQts6E4teancMf7RaQDELMNtHj2z
Cy6K7STHKA3VF1RV6o2c3pm/qqXX/OzYNwJGZMboME7GiTXbEtXd0nr2bDTHed0dhC21fJNkdYEy
LhpVdyV96p1dhrve1+NLjTj574JbHSku11x4JICfkfHfqXOgxjspD8E93snZYscl066gE1aOeb4l
pVj3tGQ88GpHt5qBpj9bZmIdVXuAu72ewnLMqw28/OKElrJPtULHlmpwThZ43zNeN82dZpjOwU6y
6WnCx2XXt2rzmbdRBfrjOt8ZOz+jzaP8arxXd0gYko6FdXh+sdvC/AknEbFIk36e1sdLmyUOJJVg
3tdVVT/EelufTKMaLpHbWrj7+iW2BJ2DPhZgVTo+mJl6iSyW3/vf4mD8nESm8pcC0vJ2oSzXkIor
rD+ndPgRKorzVbObDLVjbX4JbbTBGaIEj1Co3WO2iIqrip9e+zS2jiwHpI8uVCAwzo3F+hkdme3P
4Tc64O+QD5U/9QAfZNBJjLAZhCeBa/6VoYysd/1rgDVH037qOzDL6BQ3r17LnLDrK+0R3EYHPAeH
JXhXzo7FNd8/6bqBB9XoLJIGaopbnNZlV4k5Ts0WIBII912CrAv+NZ80Z/Be89T7qk2xcm/2nsc9
QL63DtP6IsnOQHkud+LurMc9wlQa47JzVwJ1KxrX+xxASN9UQ6je91Xpf47q+ZtuBfqDpOYFAe7o
1qNU9TTnGmmW/ySpsA+ObVqmn8xC9z/7M3uJhdW8lIbjfPaPo58532I+lcd2VNuj0w7B90I/1kNt
fy9BZGGZU9WnIRiKr9jcbXsrcj8xj7zD5KF4qH0F8fwA8kbXh9rmlrcURAU7zjjrLkyW8YjY0cRL
hPCaERl/id2hhZha6ATd57VCY9TGrrI76zBgKfjQLQENY9o1eCPvJCkFbNgWD82M2xaW1VfATlw5
6CrQDRiObli7Kx6MJbCR4r26inGfO9X8iVWAr10ZTd+naAF6tPA50IFCci/Vv8bzMH0f68jajkt+
tOT/d30XyaW1vu/6nAd42rYJXATf/j7/mv9v5//v+nJdvRpgbnvm3syteDswYX8uh6l+1h1TP9pL
HnIZ9bMU5Ex+b3lSBaHI5rlc8j4cy5cTOSvFO8Y630QJrIVt6VWNeqBlZL/zVOyjvdw8rNWkcIw9
b1PX8A2C8lHJWgvCJJyvUauHYO/wru96dGx22agVjxKMJs+r6N/0jdZUez1M1LuggohHJyUJFNrV
u3YJJGkbCqT7Wzqrdj3TNbQe/y6V/DUpR0ge2nbXPALQtmbdzrSmUzq9eXQfS27Xjx77DxTJvG8J
fCYaVZmfPR8uqT46nya7934YCNCxWugNj5brYjiaoLdSpGrE7itsYojH56ZUDobuzV9QZBiOHWcV
wdM3aFlnuUaYAefrq9a6xwnbe/A7jY2u5dyYVzzq3LXP4EYsXAcM46A37XjR6xDN7sVwRxx1buY6
VlhAzmXyJQUS9Gh1711AVjDRe+dspmaJuE7rP2dOojwjEN3t9JOHjVgyz2i6GGjHIELumBuGIPBi
4rE+KlXWH5n8IYtv/KrM9jsSI8OXKMYJPuna/jFqeu2kxm129sfUfAgDHU8MpZzf0jD9Begw+8XB
IXbwF8U0UcfC+vcZP5mjMXbBQ1U0zXOxBIbK8DAskEtcKhj6QkVqgGxYbfmgpfDikUxW94NXdA9S
X6ph8LTHNHLCAA1xmmTxZAcyj5dsnzwHiHXgq9akT4gOYRBhYYxmdOp4wAetfrCCLjlWUGvukwxS
hTGa853jgiyGHW9fnWyIzgVSxlfPjKwzyx7FxZvm4ZJV43hW1Ki8ZkaBsY/fR3dJ4yPxNDjuXVJO
eL3WLJJEXeIf4rZVcWBQ64PrFSNEV0SXEYDqn9ifKPdp7HTPPmpP6AaDHaTHAQ1U9f3L3GH1g7nz
+BpZyCN35qbvQhalgkL93LAHvQ1H1XgbXRctb3RPv+A902+qaBrvfXyokKDO0101hRFKWOjH8W2C
8OGn8x9J4+59/Mi+snvdoGsTLVz7OXoBS/orstX5DyUx/mDhF3q5FbBQHrj6IWv5OPuDeeyXM7gx
/h3gwEosHkYmVPaESCcQkz8KcIl6Z/7wwBowBcyGK9qo41ONkfqixj8julbfe9bUIYXMG8DMqDxl
jYaQDOJ940OMWguD8vGUm0r06iue8+BosGnFCD40eyh3lj+c+nSYvpo2cydNC17dgjdFm/IC2QB1
/BoBANwH5dCf5Cg9Ts61MWiX3NGGHWuJxQVGUMxUdUEGWx6GHH67uWWZE4KIUkVi7zLtpUQyP5as
1cdM9Am5wHoeyasqFx4aG3jbDMfAB6tssXJsle6tw8DyMvpqhnwFtyRDb5t1ywGmx5JE0c7bT22B
z+WS1M0J0pJpFWdJ+mmtbWAnxhtMHiDJ2Q6TgiXQ8xC/p9KcyuvoJRUOFsQkWOtITPJwGqd2owNR
GnLQWP/DcTOCUSUE9f86tyTfXdrBR+DMSGjzLm89RK4/RuV8ydKvzRSGr/S5/qaIHeus+3Ar+tx4
UT3HPxpDqGznnMfseEX8ZFfFSVJykGl4L22XefeWpZyQLpofvK6BUtjm7Zd+dKqNMTjBjzZQXiEU
eX+amnbIXboDdMC3gZbrERUQ5e2y+BeLGY+og8R/VFEd89lp2q+L3f02sbrynnXuq4qI+z1Egeo+
16rwgJzpvElMtbpfC6SUAdbveiaWPEXrbNXuDYgMzs3LGeQQqbgme3t0Ns5Qs2f5n4t8OLUyJvCF
dP8tBaOKYOZykfUEkkwH9cTmV3zZuYPi3HVjgAER1qE4vih9CIVEd55MlByfUnvpfbUChIEZurc8
mL5YKqXuyWGp4N5RMS6JVaT+b8klD6fu4T5aAskDgqnt8UVjF2QpXQuknuRVtZodzAFXAEm2tpHv
I2Rhdl08sbxf1X9EEBe8Qq2/acEE/a0vpzenZNJeT43/ks95vwMq1j/rXYwapjNmj66BqEqMiNv9
ZPXDqQBVi4JjBGYf26qzlXpogiy9+OCo0UOeqtUhY677pKK1y4oBq9epVSssrBfZZ35duGXN2/2S
2CigWLNpfsdT9KvfpPbP0vIvKguZAUo48JqSOmEo/bkoWxv5PhYZ2NDofo2Td+fnefHTaOIfiskq
Nb0lAHpQQ5bV44ZlIrVgIemZzdnw2a+HBk1zJhBSOjpheQ0zqIBSmmPheef3c7OR0jgNMzwv0ZST
0qm104daMb8ny5nY8cgf07p6kbLYdFlzQmiJMXn0WLaq8hDjJEQ8sOboUWISqFnwbdbV6rxmSQw3
1HAX4+NzO2otVZ3MOcZsRG0kz2lC5CbdBt4p4qDbtd56HXXI7huzsC/+rFN3jnGlgon0MiZeyRaR
z+aJlmpXz+20qwqPCs56pB3TGakYKZBgdFEN2ipLnVpRpuqwHqP5ys9yLlG2+89p3lWxnBgOmZx8
PVuPTce2d6ZydzuvFPtpzCXe1ZxtRdlih2XuDNuDCLacXhlqKIIwWN8dKAW3S8oPDDPVP3im+XbL
M+QXrBefvIQm6Dudem7CdveP/2mt/fu82p9ZgG7D7Tcsd0Fi737s8uNuv0lKbhftyuwxRtgVqvjR
al31WizVpIJv1izzSFRKJJjk9kvUdDukG4Y/PHaE7pVuODDawE5tbO6bJKq2NQYWQQTVLGjyH1bR
TGjogWns1bMd+vPR8bq/gOVOuxRhRTX62esJ1pGmjR+Fhz6YN3TnMG3/rDPfOzBmurpImEaVHu00
e1qkbL2ftoJFdtxtlJqOHKFZEzl812ONscHdyq2TN+aZJ0h4n82m9zY9rx26HtNr7VeAi7vPWjBy
Mmh+KGInD73a3Dkx/MsK1BMLOvuU1a3C1H+ExXCnsOs5FVgiTkgwlMuGX6Gw6ZDA9z3BI2aa6iXX
SNGe6zZRntSYKW+Jn9FT5V9NxiLYyy1Zw9hDk0qT+1uehonLZi6G7LweFbCSt8tqJJfwTVWepAAO
2o92hnFVtT1UzvmlqV6a1ByeBgZCrVOjhZ4zJR9mICOIl8X8kOCzUmKygkMOtgdV56Ds0I6bEaqp
6YE3tNKHXhtxAFuCKfWf6wEef1ZcnWCwQP0TFKwWb+GYjQe9QGtM8nIUGI4zLmssmP6d180MJJA0
1Y8VLnqFa/mP2RIgR+GVTvXU2sg1pS26OCNjmKd5CaLUKE/u5EwbSdKDGE8xahQQhppb1prf2OaX
yGqNi2S5SqWjSzbO2IU2xV7yJDB0X2ebCM1GqfKuAMU8Y2puF5ZsSy/Y352K/CwXljw/HDa21xq7
dqrZsV5+pBRGiZpfLRsBwiXLYln9wXGU3RCE8XNR7gsIwU+tpkXP7Jn/GqPKPw+acY8QeXo3Ylb1
JIE7o/WPrJV1WPPSqc8xcUOZP1GVWIHS6Bt4XneXxEqsJxb7rduxXWTv58LH/ShsG1y0XCZtforH
0GyV7vGWxiGpOtRFam7B+VIelpZ+XQbPceM+zh6jg36u2CuqOvPJ8xLl0YquwZIwovh3MFr1t45V
y8tkpsu0EL4P7n8AM9Z6Y4LKUTrT9cqJHLWw8a6InjC86x7KYtrdWtRcRgFY43aDKnLzWNRZ8Gyy
SPasx8VL6QfjVapJwJBM32ALVJ4kKXU1VNZ3VgVyXI6SPBgVKZSE5J453Lj11MB7SnPDe0KXe74Y
xv+x9R5LrjJdtO0TEYFJXFcgr/K+OkTtMnifQMLTn4H+G/c7jdNRqHwJQbJyrTnHHD7jqIMSsn7e
dMuRJKlsE2Uezv/rt0HAPDK5T26u30Hld6+nhnVOF86/ek7lQYt95x6zqHtPgli7NRKPLAO1uPfX
LxgSuKfeMJy5fnj9AsAUcdsWFIwkb2iQYxPJKNmygjFl/c1H+/Lf9yb0Tgkz6919YbbZzptRTICz
TB4a3BAh8Sz51nIhowWubKOd5VuQw+G3PIB6Th+E7PGGWjn9A0U/1LMKQoXWLJPrA7XLQloWaZ7m
oqg2mpg4PI2wkGgl9UWAh/+/Z+uH8PXeKkmWH9kaPvq7NVolIhz6dH1GXHPJ/PokV5fQsEoYr8+u
D9NVKLk+sKlFOHn9JOjaYe+bTLxVBvClnp+T/wmvVp23TtndvevmQptFsotdjQ//PVAjY3W4flxe
XQ+jKN/EajwaVidNt/4LZBPhPHKu/iO7BewGDZKmANzd0/XBbKVaCDjqVv7G///ULPzvNDdhYPQV
2Mfrl8dxwSF6fZqBnQH5n2eMOQDnM7SDsve/I+bNRJDkcEYyz2GEeD2K//sysJfz2pXZwz4h7gCH
GfYFsdVmS8NiN/zOg/iJoEUUdbtXxH+FtvEUk+t4qofx3eWwnlPiwHbSEJ/JLPytWlW1Ob+m9s+s
OOX2+nr/O9rXZ9d3gBlWshUxx0ojJe2sD2bY5bE4SILaTo5VN0eHTULeZt1G04f9JJyXgldt2wqH
PqYOnXeYU8DoqMk9gPSLZodZh4l5NaVVq+LaXd+s67MSaMO2BQvCfXc0Tj1ki7h1GHRZDSS+vFCX
/+vAYFHmuDl+D0LRNQJNKyP6/TTc2sT+FmWibS37Uk+dOvWJM/3vwRKpOkXmeuTK+bM0zPaE5bc9
+VULdPz6tPL80dhen16jV6/Prg+5G7WonXxoGKt2vl7jWBqrxaBD0fH/PLEa362OaQkIYPWIri/z
+nB9wf99OJQWZBmD3Mxo9TAtq0bxejjqq+f0+lQuNLyq0p3D/96Z63n634fXZ74xEW+FgZfFu4YT
yIO1yv7+e7AHkewHYZ/zVXt/PQ+uD+n64cSIY7ek/eX6qSayCXeIPaqRa6zBeE00cLSR93es68fC
6DvSR60KD9jqGvvfU3cwp2MO5AuTPMd05UO0ghiD68P1wyyFQmyk2l9HSTmdCYaUm6V3R1JRtEyd
Xa8OLWK6ZK3mTVwSrZuQTx3qXssuxtSjPb2fH79Qz0azgnWpR8iNrQmcw0o/MzrfmuWIbzS/Kes2
2cAoY1C6NMnFQQtzE0dDwLy930xzeVsa3CIqv7VDH8rqWW9lwJLRMEKns9i0wxHcwLq1XfQH3Pfm
YZlIEHI8MmndN9nJaicYwqBiH0ayWPp4l0qCKEW10caS+QgywZAbLotGdidMwwlmY9a2kSaJhRnN
Hex/8HTLiyWKY9U09O+IJEp78dFOLZmFc7EDv5RubYx+tRwuSdzpG26OOJOTug57DBnJcAH8ip4k
Y6Sr6Yxe44ymCl6qAChbupvaNSNaWqhwaVEwnA6WxpzIN/b6sAFR0Xv0Gkf117scGG/0iUrh55fR
v8RzngUpAVtRlelwTYkoTQ3a1aMO+NbKoOMTmtmOf1mEI1tHSRWoxfb2EawbrZEHaSYcBDh0qXA4
0iLBK95PAl3M9Op7a+uSIEjqsf7H5da9ri2GATvGdY5Vvre0GSOwht5/mLQ9FcUSMH/8pHhOtt6M
f7/RnBw2ETIdb6H2FHhzPPBoyDd54XHlz4fce1AgkA5MPPULYlrSMzwSGPSKN7rBpYtnfogBBnux
p5O1NQiYU7ieEu1PRmTLdOpmPYPMzJE3RbL82nwxqHpulC2bbM2Nbmtz+G5L6Egml2hgTCNhTfPE
vDFxSczRMxHSEL3UeU8CroNPDAd3WNBOsASm8CXXi8CRK1IE1vJGmfIt4n4RQnndkMtMPmjJCMfj
bzmtn8KEWMYAVc4M0cu+GVptV8Z99DBDXF9a719TkKoX6/HXPGo76bERnIwxXAvA0bGSM1q5ne0n
Pxoc1k2tyCY21PLutzQsaEAa2q9LRCJcIys9WgadPD/THyAueIE1F2GUjM+z4e0IwkU+kiDF0oTO
tJUdkpZ/560x7JZWDeGcFM1O814Trao2dlZG266o6M+M1c52tPqyJPzCSdIZTA3jLlaZBE05Hwf9
i51/EvizO26H7qnPiWrtyOuin791/ObDkCN4FgBJnkXosRxfUeRawI6yJCDFs9xQDRrBAn914xOY
upGzKjeZmxxsoembEWSXk4lXQGKtQCQJ5qugPmr1sMpIX/EghurGcDCs2OZr81vsj19R3HZAneqf
bHlfzBz4WpF8I84tw958IULxZUQvydQFWup09kGmrrMNqQYvpNem5sGlZYYI2InMP9o3IEycj2yy
b2vF0L7wL8Lk20pjurF0qn/W9Gw7kjosm/4SLQMBstW8J57XIV22Sg7zP5Kz6Vc/59XwaQwEyuty
vhcZlf+wrLjemkYg0egM+gQrdAVkckAzDNgw5pwIunoACJZ9jRykTdcQCqxZ2rFRFFmJMNpA7jn2
eli4NPyJFDhbza4r7eiBbEO5ZbSTBap1XxxVhlY1sBBoYGiL4p2M+yI0fAbefSfTTd+Xb+hFMTlK
9tAqT8lLQr3pdAQJrzmxKKPVtteKV2D+D6DTvE3/NjoQ6No0x3c/Hb3U/Km1/KdMze++tQgL7CDz
6+yh6HDvq2mYd17JsCA10LJ7BTqiZI7fDbqgqgT2N831k561t+3aqKrmdRD7a/Uu0QsT/3CCVLYf
xQbuXbdVmrPanZu7Mck2ae3QLVmFum2sjrXBTaFEI+QA74P1wqrpxEFmHLsyvXMRYmyaor4t8/qv
tNxj2zpffcrGS4n7xCvKUOjFAaEK/aBIktcyRfjqvekkSTOLQVWHLQr07WBlEHmmMQ8djTR6U5Pz
RrMrFUaW9u1BNkqiESF6am0FoVKmdJ39rLpnYt4YQ5diTxdgby90MpPqpVL6TpDqvfMSB/0wmpXU
5jTT6ndfr7PTGMSJtzLEHkcrgTZevM6LLEL4M89Jt3zXynkz6/lhdAKzdNqdE6ubBTRn7kCe68mf
NBznpgZj7dU9nMHaZKIm+mMeRci0nf2UaqGXknX/MafNpx8Xz04zXJSDplGfXhNZHHo0OLninMhk
vwPJBppmvCSAAxG0AUbrCjvMG3bgWhdaHdcnVHm7OLR9PdHEnWHGwYcGGkB2RWx/zlJ9kk1dbtxC
e+k9QDYyNT/6Mv+ewOlZrfrAX/aLbBddrLVfxvQ4iPJ5xkYeFHr92AzAy1M4TGOOoprj8SQIEdvX
jAHQ/Fn0jvplzwASmFp/jIfhgUwjMgQ9+uOTdH970YOm4A5LxjZR75UA+QtAeaOJichLvQLbVFxM
WT3koHk2xjLZW+H7e+X4x4+yB9AHbehYK1vC288Ry8/IIxJyNEljPxOKUd/iG0bC54JNN7kim4jO
Dl1haX/rpbzk+vQ+8E+x9XtLEWFA+ixe/U47s/I9IS5rNsPgcujjW4Nk+to29zKbDqqOdv2hn6pd
z2FhkWDnz+xQbZjtpdT/Eyhgt7lN6VIdJHlqek+wmPIveQ3rc7By5inVbkq5eicv+i0KIpRz9GmV
6t6cQV5MX94PXhGQ5/DQyPjTLtk3YiEjumEqPlw89fBJ6zFgNEPKgyD6c+HcYCIANr6ibOiMiYpG
bT1LR2A87AX7jKPPbrkub4ke7agDUp1eFZfL8OZImspL4akNHJ67IlP9pnUhAuoCwZFVxs+1U/w2
UnWbUhZT2PoDiZGYDrtEP466/+haFJFzAjm7isez1VNlN0P0OUiuu2Uwdw4wb7cfbyy6d5BT8hDE
naMVTEPbCJQo2imQu28wCBE6xbTQLHqH3WhxkF0OI5EnCwu6UYaD6foY/j1vM2ZTGZZPfQkjasw1
fWdaMBv6Ln0kAF5GsO25wVFJPvg/uhqGiwGIjN2YffAi+ayJGeymP3wKCWl81lJ0L8Nn1/u7eAQp
2qdkFPu5Hxa0CDoGHAXC+LDSNS4eirBWZEEb0xEYdL2kY50fymX0joRMvrkp8B7u4MPY/BiS2nie
uDxr+DpZehFaTcLcBEMx43Rp00eD5SfEnYSqifyeJW0vcVr/ETKabIQxMFayXqLeI6ik+mdArvOW
DpeEQSJYlHrkc1Y3Q9yeHYrFWFa3o8/QkHwRUFc3GIheqbVfPYYWgR2vWRGm+p5tdgC5N6pbz+dW
48xh7g1rwiB3c4cAqayHo9q+5WbL1TEFTrfod/ZYKorxIt8IjxrMKdBtxOnfSD9bnu16JWTZCt6b
ml7setoapq0orAjNSF3YDs5wr02qOaZafm/FFORk0lamXe0tOlNtu0wUtMm4x6Rt9U4Z0hB6cZL4
H3wr2Kk5mr3EaLkCOGm0P5p+X2mdHyPHUiQDS6aVt2UDxgzEvdgUqG0Pix13YQ8R05+yIFvsm27w
0aYOv7Z2Imr5khLMWtGEBviI9i5vtlgZ77NRiJ1etR9AFk5DtUB8rldE82crCK5WvoFZv05eGuFS
CaGB8mgSbFo9pu6sUzCTSNArb49oySYa0p2CzMHc48y4QuyvbAABOU4zme2OuRPW/GzqzqXNuAIT
jnAuCJVgKvlru9EYFhLicLlNDGefOupzUSeUMy8FitQNuSDttjQ4TkSJ3+LEQDaysF938CrJeW3B
228aZL5V2xZAD3k3+7Nm7BwCjza+rT2JWuxGALfrIlVv4KBihZoRUO9XuhzpHzkLm2adQQd+jIn1
z3S0eReZI7BkLKQQDdmeFgV4OypC2+fsrzW8AxQmxCYm+Feo8WWawEjKrT/LkdXGUbT7bahJrJu0
EG3wgqb+kHq6CVXODXNSTjeaz1ni2uYXDZdfMpSb85gztTYZ3M9EFeWm8QiwrwyRymCgtIxQz2t7
/YFtSo84NE0G+16+FzZcWkOpg2uMHnVA1gSg5nroKfI9M1pw1PKspZxtdSc2fdG8ZEWFHck5AcYM
l5r6eZI+qb40KTZOkewnEsehdi63DhL2RvzMhv/dlEsWImRrOE2HB7eaPtx++oYkeljmOXBM47NW
qQ0teQLRi/kiUp0Nn2SqAuYgeiOextx9GHoPW0ZW3ozewACl1Rlk+x+ZLUm0L63nSD4OQgfVDUOU
BDESd3Q3ClVS3RS2uAjD4dKNJXlOzDE63b1r2HWMdTWFSarfEzjyYo6kYvpDtYuT+TGJ7BEtoPvA
QIUAlyyC2by8e/6j52iIRMyVxVdKFUiZUWBTYIKvi8PMrMMZii0x55uxG5g3JHutqW6q4gVsns+w
MzpwTgZdk1hblRnsxEaDbzXTaquZjhV4pz4G2EnTD+0C2eD+gOakcrdTq79rRcGoZTD3kYK5pyLC
8AowaK07BPEov5MW6b1tHakv+qqgwJjcjU1Vye5rutPzI5W0DXW4IKUq9QOjHh3+DHkIha8FEdrc
qrWMwPOyn9lN3hPmlPM8lIE2wgbMfHM+uvNbLdJiG5n7QjCQrvCh4kGNtw45MLUY3vMqXjvU7Pyj
jHfNd7qAGwKzks6g00penbbPMJHOTv6iFHdvm1TvXTNRcoyOZEzYMx5OCIn2XR+G8k8TkZGRJ82t
jJOdRZDIzp/VucnNf4WGYTfJIL+vvKFWfqNIemEgXu80NCqblit+62sue0OfS2ma+ttq3vlQgOeZ
djt6rjaM8hg6W40tsMWJUDDVynq8f0VELyRNf+qouOiuBtQ8a0gWimxGT2l/SABsbBAtuZuuNn8m
C+xU8WI4brWPa+PTNbSDuyj6Jz5qHqv5qWtQp/C6f+DNfFFRT7vWTG4XkMOQffM8IA0WCsFy1yVE
uN4r7qZcihgOqy8kMUi/xz/yLW8jn4jllDXKIOi8HN1X31DnuQNGAmeOLHmruxs78VXxZoFEeUhz
39xra+Ry0syXwtahvqfVsEtT9mk6tX/TTK9co8hAENWvy6Gz7eJ5z88xBR9iwLfJkVihl9wwtZAE
rP0rRtJoM7UR6qEfX721nvVGb/vZLQeqTYSp9oLijOhqrBPnIvfZprJERRYFL9cmIlt6vW2HvOZD
d8zP1kBLVaKZoGH7WHPwNtVkPWhFTstQWO8jc0sjnsaQ9J+Vp+LHl8QWz/HiHIyCAl3EhPKxOlEB
QNpjD+uZsFvbwUJoDEmYhtW9n8QPzS8Lb8TkZ8JZqZLxoRDs1JwOP002EYsi9PekI6hhNmvyoKZn
AKTFDg3XfeaOF8YKGP204lYUsQzZBF6mldw6W0/GV1x5X+7Qv/Y6J2Zuv5J98WQ6VShicgqJAIYC
TpDsfOo7rhZsXSjED72lvw/S/qe5I31llG69RXZdptOMybj/u0tq4ZgYj+1wm7dwwFkAkMGt8Gbj
I1o3r54WXxZIhSC1L7npLDTu+u+mVbvW1V4LIok3bmJNwVRTeOs2aoaIs4UqZqhqH6u40De2KE51
JP9VAgtFMixAKZE/dcOTW4izVTp9YGoDNVWF/F4HUK0yTQvFms87+MYWKzhR9Fn9nZTJAXDFqUuT
nZ7bP4nX0afqmAKSpEqUYro35+Y2dwgU7dri2IxEpg56s0UV/pUbPXJRk4RuO91mOYPnTKJ/iyrA
wfaWf+E8JHduWiESni6VZsB3coxkg+kxmqzHSGKhiKK/pdKeTaKElFMnz1r+CTOxshcz0GIdNdZk
3s6wx0JLGt/uII+mnz7VE5N1HIA/MloPdlJ8zsb4llf4qklbgH5V85rT6XbOp5s6Q54XxV+UEF8E
qyYbtx53djN/Ds3qy9O5kWuljyJwqWGPm6jtqM3XTqXaM8VLQmumNaunJgHwJt2E5NO3SaTI++pS
FsQp1fZj6U2CCbr2scTTRW9BSPvVjckSLlxvL+vaC8oJyF0lt+mUvqdFJ4K/1m6+bav4FzUNWkuz
fiihNUq3ZHFxOtKWbAke77xU0zYiPx6VE15toznjM3oytRFxOs5fXBaHeQJLmJANmmU6Tb2hGjkb
0Zwvwgp1ZqowuGK8INUU6IFcVEZSYprvltg946D8ckT7WSzL3Qjni7Gac8MV8ubk0Nq0IfSrGg2m
F+/NLgvcaUBwrJEWlS23mJdOUGuXfWtbWxu8AfcfgzzKIvBMrq5x0ccDmQ5Q9JGBK28Ass6Laiz/
Ubk0b1z6KRuLio6zuLqxitdB5CEBqvddIt+TkRH4egouMxFTCEv0XexwouCfuF2KaE9H/D1y5S2d
27sIUD67BHxoRWtsSSE6F6J8kon5USpHsNFLKGvxU3k+lCchuTFW6dNVKhDrNGVoHjcHdmNPhGq/
NzL7Zvf7jAtUHsHmk6m8RCG+l3e7uXRN9EF5gB4joUSJaNRfNAY5nUHYyjDb+dYrzQMqI9p62WxR
MrQx+ZDapXYb7Za95psq6e0ug7sjL7sKa9uZ2NMrf1cuoGgWUeSHqrupao0BAb9g6+XaN/vezYwX
QqSRd1CLhm+yBFlJSFasvPg0phObRsgJzPa1oMlsYotnez/3pXHSCiZYLU4EJhEuGzUv0bFnGPt5
9tsj9rh0081kMCnDKh+1uQca7+b9/vrh/z4Hhj7juuyLKHSxcADib0zuVZKwcbesyTJY05/UuydS
YNwEWDiumoPWn4+1iyUdk9OnQx/ZEOhPXWvQDrye3WJQqA4iotMHxJ6tzetSdP1+pELvJu5hY0cD
MpVP5At/DbJYnV3cfRZtOgpj9Pdu9OeS2RnMhfGFjox7TY/cLdNFTM5x8aENAFVri9LemYzfqPK4
aKiwyyj6Z2ViCGgReSHYAOFbQJz1itfksCx57Smd1pIt0c6Ji4Yvcr8T3/wee+TbM4twNERHSMwA
0ulYSd9883Og3/aumbWbdv1z6TqBsRzkUxPke997hZ8H9rAiWWKpgnHOLovuPJbNXZOJcZMV01MV
M30uPO/YNYKWpnuXm7jJXe+nUzYQ/7i9n+3iIVtHB75W0jZU3Vno8RT0ncUV4ZMCj6vsRD5GFbZx
q5jhy5DieuKyto7VKAjUsdm9Haw4EcAmUHboDkQCw21gouaWC6Ex7raZ3dx12fiuyjVoUWXjPrLK
vyld+hsJaSOmva3b7JSt2OcGO1vMByxr6yf6ezq7N378Z/YWM9mOPDSPDWeTehXLY/ZUTq+RlUIX
8tijJbEVb7BYb5SE5aBqFXh+xt7ZtacNM9V9lurGW+6zWsOOZXdLi0WV5EMZ6VkMdF+cUdyyx352
9PKtL71iq3UiRWgRv8MYwcLumXvcTHqA0INlcBUdusQO0TmkSTUEa9tzO5qY1U3eY3Odti4awZB2
nu8JMuWnzLPFLGyne87XgpO/nGhVRiPDFRAqWNyZuE9SsYfTyF3yqsILcscxcDSNz0YBEFC3QL6M
dYOsioaV3fzkWQv7pZoOxUyf2Shs/2iKoyzlsJljBlP9QvPJdfOvgSYfd5ta21SIHvqiTo5xNq4F
tPlhY3HZ0K2MwZ2o7l4vSwYrpv2vXkdP0WdLhyUwco3aVV56epbIZLtTjDVwoBh5iBzOyqqm2Tno
+E7G2xF/XYBGpdn6lQ0lfWbs4ayJNUNLxy9dhol5GScMZIR83yVQKijvNqrLh4eWzPSwJ95oBfKf
6cvfxHYbFAN9GwVRw5hoa1JLNcdsbCF+cEdIWhEF7ZDqN3LSdyU15WZ2cU6nC4nlQr/zG2HthT60
OwiRx6XN3I2TV9vEJLBlibk5xLHozxP99txD4J7l6tWpEJnq8oWpGe9/tSD9oSMbpX12Kmra6uxb
4dRmDtEr4w4WAxSJtkov0mV+2nY07RtLaZhi4UEWfrldpMXNeOrfQfRsK3utP2uscct4tHNW0iKt
XytnsQ6uWaNmFvV8Ev06E+qQ0xC/gYbPzTvq2oI8cbwbW5FwWmiTwIDd0wjkQmOb5divZdGVgWtU
UQBypULLieu1yQIi2yoAUOsleVco/kQ+cwlbRWcHQog1T6G92CJ7kw7HNjKkc8jSHAETlz02n9fO
4RW3Nn8SPxGdmNhhWWMk43jjm+3bCIvz8gLqU53j+kGnhcIZVW0i3pVtkvfgvvuO7R5/22jmHUEj
I1NnqiyXWc/W8Zo6yOLxINi4Ey9cErE6iGrPsNiCEbPzx5s6IbwFr+yX7gj5WJrRdszmN2vCdTm6
40sf4fVEBtTtK4JoWKLlnUoXvkn7E6QE0daJ/zWWM4SuN5xiZqg0Dn0TMEo80zZ3mh/4zRyiObsf
9UEjfNrDATN6xG5UGBPaBj2tSYfOJGxkIGGz4ky2I3BrXEi4/psbMUuWG1WZR0Al9UJZYXPOicb4
UbH9pZt/o1p+QM8QbgEo3G7vl97RIeNE9KGjL+Bb/LQwnZ1e4KBgZAi9psdkQt9Dm8bbiRmzQ4pP
lozbPtE+/E5428HoCFxL8/qGyZ+7LRaPdDzBTIexV6AbVDrsczD3UrGyr90D9hEBTIw85LZ9zKxo
PjmRzmyDrY+okOS4ca12Gix4dMhPUiv0Xefdw7igMNTn11EZh6XX6Qqr7kWOTEScSQZmXPWBmnyD
QrFY+O/jm6SXH4XDiMz6M8f03mO3zyaYu+I4KqRGbAcGxQA68TVq9kOHb/wuJo9EqwmzJtwpnHrt
p6vHDysm16uIbvIBbaUYfiaPhn6T0YJHXfksaQqQ9+bD/a0cmh/WyxixPcygN2wx6Hxpq3stceez
cokuKLPsQRMN9Hx75pRbmnpTI0UJjZE9n7sy8fum+tWt6Z8cdSoWZzoYrD37Fbo91cU/tBukV0I/
Zd7Lzth0u0deUcZZlWS0X+xin4DARWwY5lp2KHUCnbvIum97PzvVPee21YYxB3kzNz7yQIbgRuvb
20RO023jbS3Us6GnBGkbw9c813fcYTOqYGsjGuxzXV2hA2l2c7YadiX7DkLbEMgvzU+GyYqtQvZk
6n4UJC2t16S2U57ROCnierirHJy52je99ulTiw9MX3XQTuJ27BmzLar6dt2VzSLYGnU9wrqRd8XQ
l33sL/1duj7YdN9KlLSn66ecoiXKiM5Dkzu82n6NoInUoUT+iCbXZC0lWN3TfCj+3TiHTcs6HDXG
czakGeeB/taDlwgN03SD2Dp4jmOHYvHf4jQRuNzoadd9OW27iI1MOeGDyDadqttjq/rn0W2WvZlZ
6XbsiluFZIzZMdM5qyvaPRcPwcbekMMRVsxqmcRRwrHG4tIHU0F3eGt1/XA7Nt5jUXFAq6XYlI3R
3UpfNmR47zxu+l4Dk0Uy3oA6dtdFM01+2owyUf+mwYAi7jKWzwbj1XJQFjb9Z9NCcsHRRSlUbv3O
vSuZiIXNIvqAonUbYR0cGbHCzFmDNqbfrJvDyBkl8YWnvBvUDvA3ysXo1l/im9hhr8K2bJebTRJM
Wk4/xphOBvkDFDnqlyUXeJTr3RtW99AOOW0YJ34tZuafgvtSDEG60+Y/RX5wFlnGbWpbYyirMt5p
BckIreH9uTYazVK+KjlGGwEGOXBnPXD7mfXZWn6E8g6dRUx29uc6nKBLWXy3Cm+t7kpqP40Qo2qO
z5PVvHQ5YgrJyWX2z/g4zn6HwieOkm2UdlA8BnPj+uJ7dZxQiEMn6X3TCiLTvZgorwvmL9sxdo4+
kp8TRsUXY40ZjxuNaXvNAXDFT19gtsRHVNN83anIA2qTFc++w5zadMkoggVycur5brSYHtgi+kju
UaCwqgTRtGwHE+n+2N3MQ17skWUc5zG6Iy4E6wu9iNxQSHVcfmc8z29lZf92i7oRYrijSgVbnJzz
iO/g7NQQBPW7XAyc3Wt1xhzlzskSQTnbl3ROrENry6OhyEEv1ZM2L8bNgBbIRAe8q9ND2VHiSt/6
NXNr2FRO/6bVcqHPlXMz4LiZODNbRE+dl5wlszR6bl+mkPJiEBabJd6806T0w36pA18knC3pQwGZ
IYhZ6+tuD1bpiGaSW3mum/j7m8/CIU4sUhaJ09pvbA9fucj/yS5ZOPvN/dTyvoiU8ELy1nfO0n/G
Fk3ILFvt9BkTNIuMJ7P24kCAKKPDwMTW5jCP3bhD+MQKe8pk9sL7/+j+65rOD2P6BbRpafr3vr7R
JrZVdvyrevXYm+5vU8g3b+6fmEJEgZlpcPJdgrN8iFJtxHZAGKt6hzmqRmqwI5BkE3ngbYZyadny
60yd3cg6A0r7Z0STF7QVOrF1mlVJ7Pns1IqQ2J3jqBzgD6fZmvcuV1AV1/uShTtytHdrSP+Am1V0
nlu1r3Vkbdjfk+63cvs3cqboRlf1XSt2RsSdkzUdurJ/KMUI/bj6Z+Ye2nS1HbwUSZ0uGnIZ8J02
a/yMNiOwi4wf1/xloOltk8W/UUjSwsoAjYD0Om11NL1+clL2YmyyNLlpao3USqu8OLjV8qot93K2
9S2yOZvqYgqGytkbk4qhjTUtESzto8kvhrDG5Z+LU8emNMbRSbpjgvHabyUr/H5ust+kblfolDxa
lcbrJpVTOHRxKG/ZhK0ZaPP0aiyJf6azEaie7HHPTo2tcqvnpOnurYEgCDDV/BtpOJVoXT265fi9
7RsnZyvUMi4P0lknuMrKLzD1HpB/A/1TDRMrxRBDEe6EcmrfSq3ZTs2dXHTjXJXjbqq0OGxzirKm
P9SVQd1KTzitUt49VW29ZLlJSxagKGmrrd7IU+wR3B7rxC6gODJ8rd/6hYZdeXwvVLftxp4SQMb3
mkHRP1X1T8xAr80Io/RjLQ212fxyZHsndHko/WLeSoN6t5C5Qz/IwixUQGSJpnsZW/8acY4tVk1y
Al3GYX8+Goda2NjcR/+XjJQvml+i9V6ZoOwVMXB4Ws4Wm9IkpoxQsXmHYeUumfS7dBpQexjHJi7K
nUF7wCmde2X6q5SHcrRpCVKc0bo2nfnWq/QZhSXlKBwqW44YNSrntlqsp8jKHgVrys5zh33eLXu/
MU4Rd3LMosFQMyAjmnKbZXQjSezM0m5jtsoKkVHykRdT7DToYvqSrjle7rRO9vNo7FwpqUpoNvpk
FmwarbgI1f1E2fiT98wqsmVjtI9FOwxcNFj+ovrdTJyfVNm/w1jD6zdDSy+aPfB75mUzYIWWXbuT
/KMly8C+qTqaZ9qdVS/Pie2+Zq466KZ1bBNKVU2aF/A72D0EGp3h/zB2Xjt2K1mafpWCrofVdEHT
6FMX2/vc6SXdECkpRe89n34+RuooJVVNY4BEgGEY2+QmGbHWb3ggitppF6fvmqmsS7XggYE0ROea
G1HyhFX7L1WGbGD8xTRMfNjiPUHdW8smEpc0+fPkuatqnMxt0GiPLj6sZel+CtoZER8GJ6UHSAHQ
DheIdDiJFN/TXCfAnTqPKipurZffIHjUgbzq7suOWEzjQ4bNbesMcQxDO6+4SyEyLNxpPGWtuwon
gYsSQ8iYnAx0UkizOhvhVHeGSF+qGq8yRbXR2geQpnYPrkl42XChFQjnvm80FmxixS2XDDQaCcBw
zccYg07oJsiLCaN6ydR2pYBSLXENHUL9xtJsPEPRDYyIubeFt5sfeeQFnqcsFgszyOCmQ/XxSnFb
GvVFVIOzJNfIthvTuoVSGtektep1Bqand0A+Ds1Rb8kG+6RTKuUrSg5YPRJbXfQVCpLgUnWbf21P
vjxJNPal9p4QPPfGUCt4rk3bVmufUpUQGKpIMyN9q0Dsrl2LRQkLxR62ypwGRE8qRHZC9UeCA6x+
vfpz6WibtjJPrW2jh1LgDBlzz0bQws4JaLbNuS/M5qzlYXsmADGR1uuVHfCRflErxbBPa7O4i0wl
vmNbPR/LhryG/4hOEY9Ny0ML0gt8bVkJtd7+6GagMnRrbA3LG9kEHIA8hDA/vU8S9X7EfdwZ1mKq
izviMOUdcLH7QkW8QzYZ2LteSlfdvQ2YRyUYmG54t8HqfSIC6bD0e13Zy3GArYfbocS+fp5VFnBL
dgGEStLWvDPZVlt1swRhJ5Bx+bstCZ2lhqjPjRyBdtcI2iUioC3i/sYcuh8Fe7tbx8z6wx/tJmsD
pHR6Elp/j9dKCxUL80SeVL+8NydYq118EEZyUtme5CPWU4G4shfZFHrpXSM8PR9KD+BUXvTNQVYt
N49nD7hpHQ5R++BWfnLUS2KJmd+3PDka5xYPhGUC/aZZZvZw7lVuvvLUsXLrpQ9Yby+rUeJGW4gN
5uptYt/rT3gVEjSbX7ZKUJ2Ltbeh8qUct3gm62Ke5Sv1IZaNk+f4BCQY3rdlumM7rSxlNYR5eu5d
/TEtFd6Hqt4YpVbfy3k0ziSUUZUnOZHIAPWVmettZG8TieUIphdWTZLfykIkZbWJKy4tpLKCYNla
OVoXfVovZTeI5vyWFwx3FR7M3MXnMWk4BaCuSGq9zxPX48B+INsSpNA3TWOEN4TYg03eD8mVFPyM
HCiKWyTq7FXuh91djKTmqkZV4X6sSmvpwb55YO1VLf3eSp4aom9cd6J/Dib07OxE2B+zQWSLRGnz
z2ZVvGIqC12yyp6dLkq/DkUGbTAyvmUTQPbEyb83AyuKlJwKGY582akFN45JvXoDK5pFdSJaBSQ3
RYXGtCLgB1gTs9zpGD3l24BcyCuJiKPRTOW3pLJvbRD+X8I++uRkQfWisidg9Va7n3Ryt4s4SsZN
WPhYo7haeYuZPLqaic0taDZclm1+XECpnBQWP11Z3soOzddsbhJesZZV2VGFBIciP1FY7jDV27jC
H9YWELOVrDbzBLmtO+tucFDU+/kaeD3nwKfJo4m+zIPlVNnqRjE0VIjnMXJ+l5zgdihF9/ZWZUdW
e+02q8lpySFy/kFRwfl3Afn+vATPBiN9N3UxdpGkQG9wC0p3bSkiLEGL4MxlpqwbZYjuETEIl5Um
ms9polx0UfQ+OeLbyfGC72UqXgB4u8+9pTtYIDfQZns7Iarilkcly42jrffOhs1rx/Wf6uTFje5j
73UfRY6USyDWsAf4B03xdJvZhfVpsPR86fv9dOdqYb5xrRS5nbTuDqD7nS2uzd4Ntqb1yihj9QlE
YYRgUnAt1fgum3T9YhQpQguG1ZOaIBfYxkF54YdDosjP40vM1mlroLVwjmMz2bYlKilJRoIrjfvx
HAuj2RoZqILMJPnfmlp61tpR36Js4581V7e2XCj2KY4hAuTccLnKDhmgk20BtX9niCi4ZTXCkk6z
ra9+ckBXwvrWsA9f1I0/3smhoZgUojJ/Dx26+o+hBjTnOxWP723XCO6+bXwPeio64X227T20TVFb
Jpwh2wh4bruy6IN1j13oqqhUsn5ef5vqNc7KkTet9XDqb2WBvay9NJCT2MiqNo/TOpi4vlGIbcGt
DePuiFg2qj7+Xg/L4e28ICKo7OhedSAJ/m3CzQ+hKiL9YP2vTeEiewNPid2gs8txUQFj2UMGhpdw
a6AqvAK0M6xlW5873i2rezD6KG6SE2KcbLN7Y9WPyDPJWh946QWJsp2syYngp7m7CPc84MzMIQth
Cg/jZq6h9zbwnBWpXEvftz/Hkf9Y6Ujb3cimwnUyJN2qXV5hoT4kSbNS9R50BQGUZqNEJv877CCD
NWxE+JjKFBPL0usbm8cCQIC5kdhkvHyr12WFAB9x3LeRsopwPqGmuXifQnbkwm9uLFLqaE47yMD0
9Y3mjepOBu4zJeFN8MP8fzT6wlJ3ikaIX54oB8pCdsBDJR08nzxNBfDx2LX2/rwBLYPKuHTEf278
tATWgmrgZ6KGNUkekV/1AqEKMcHHyVsSjoadvWZ67t6GPsQbtySeLttT271H7kO9d+flbllCi1GC
lvFZfswLVKHEiNu0N2blWra3ATuivi2eyeLYiBMN2KtGpC5TgeWsFvTKsbb5NS3kYTPiXJoNHVLm
QjnKpiqK6ZX1t0PZ+t7fuRDXklT5/ke7rP7RJnRH26dlvO4dYqj4Xo3HQB9/FKpa34Ytn3UywYun
gS0+ahHkA7WIi88k7b4Js7BeFDt7ajSt2ZuWYW4dLQrWbmqg+oEG/JOZa6TPYHhkusP91NfQZaqS
8BnHS0yNuWGCylDWtTEeHVS2vDEyVqDCuf9lw2Usy/R1LBD1bGv9oy9qFQRp7rBj75VD/7zTtQ5Z
UZXU/ULtDX/npRlb6wZql6OnL4WrfcKfXLlDMDs/Zjoyg6E9AUgY2k2ZFslzp5JEG5VE2yhQuD5b
3pIJ0nX73FV+cdDKKtmoEMT2eeunT8447glGZi9ab+SwnjzvmAZddOeZ/nf5cpPu8B8sh/zGztPu
4vlkGYb5hPl9gKAkpxWBDcws39wiJ/klQpL0LAsjG9pzabbAa4WDxIHCLr0EIHk29NAcFnIMXM75
EJg2HDjz+KP6cwo5PC2K5zRN8t371IkBLNhUumbdllADhmHao9viXmQtiyGg2R2y97IaVaBYgKfu
e6e+2CQEm31NBAR0mBou81KpnseOvGqUmeUneyJvHQ5J/ZIn6TMwj/4rFs3nlvXoa91ZULIyHwf7
fFrkDjSBhcJGfg5Huz78lnQAIeP45ky3T+GJN/CUZ3G53C5RmNO1YhFiLb2V1feOOFFSfJDBWXaE
u2/CJ6XDRtxAkPrkWEHpbuoCiG8/WPU+MNqDrMlCDhHzOFktZ3aR2fvEyxr7NhxUZZ858LpSWOrs
0jtEFHTIV6tw7pZjKsVTl0lCTLQSgjE8Vr+ypVcOb6foWrKsdF/cvA3m/3TRcJYQlbBvIQwxyc/X
eDu/99KKXxavUQMpOA5F02+WDTjsOz9Osztv3nKEagVW52ebU7fNKiYEBnQHSTiYK/q1Uh3nVOpR
dYLL8syeWDyo0KrQG7OuRW0jKRuBJ7f5IZ5kp0DVfgUOpNipBTjBpjOKbWaDd00aw38MvdxeFx3i
CHo0wKOC3ol5TgfVbUithykBZePmvvK6Ib/mvWYdS1KjasRDylxrALLxaRBGsCqiBAIRSIF7opnr
gbmuhjDE/VR5BE5tnR0mJDv25oi6G2YTLWSvbZDpHBvbO5GeR2A0DJNLUVvVxQaxRgq9Cr+Udnqo
skg8VUZhw6nwkQOZ0vC5UAggzAPs388kl1oTVHeCL+BF3s60uGMti7HWr+SWiLjbZfLQJzCUEPAM
byPPQzdKa3JSJIm97UdLP0Y8I4DDpC0Z7Sg/cX9rtmOq2heT72dtx7FxmyfY34WqYj8Ms2QReryL
sjSdbd1607hIZw+G1h61M6nOhMAlqltzUwaC/1zMxdu4pjJzvC2UH2fInmYccUjuTQ8LQsjt5LjX
IBLbO8tog/vCQrMiROhtLauyYIBpW+0dK/uZBYTw0PsA2cYAzSQcSASk33tua+JM2/lHK0uqcx/0
6TpOk+ZJD6Ov8l+tGd9D0QffIn6rBNNHjC7mcxykio7mfE5iE1OoIrN+mow5fdB7r2b2dk7mJtpC
d9If55QWuJQ4yY5Qqtyj1ozukZQn+a1eJyFRRpm/iXk2VLhh05XJrj8PWQQbK6UNN8lQpi0mBSY8
Plx1FzWfHpVnfNRHHxGGhVAdymxueC+aJMQAGNTrwwSRdt0OOK7X4WCc8kyP16GIlGdI8jc9v8Jv
IuyuZt0bz/AWMtLi9b8N9dL2Ri5dzWC4Fm74Y+gfs5qTisd6XsaEEV/0KjMeVa8qHvzul0rYvWid
pb/1aO4vPX+eU7hFv60rDxDKVHY4i9fqwDMWxj8JUdVcy8NYQxAgnIvCjVCYdG5UdLuOVTzv1+Rh
hgatgqfq762yjjJ8dZgMQtbuqBwy4R+hjJjbhFTxgay8cpDtEN8JnspGLR0cdJHn0ST93GwhR7WW
1oqdHFDLVnkoi9IR5MrsNloUKGf8GC97Rs3/3LpVcBy5z199Lo1dMhCY09Iyu3qZll3lEavQp4Zk
6uG9ffB8becYJO7lqb+PBW36Y2yDdu8CjYMW2WHHP8tCIPTJ7yg113aZol3StHC/5eH7mHok3fHn
GNltqQKxlg5jmRCYof+gIP5+zLJGJT49H+oKiC95JIva59kFPClYvLd1ujOW5/d6bE3xJkrRMZMn
Q3FEqemPeQhXkqSpa4vblUOO7Jc5WDjZy2wcVPA1BVwt5Po6N7wiZJBdfTXIrmUy2nDEPWPljnr6
a8eu6RDwe28tDMNekWk1VvJEWSCtnF3rXTWPlA11Dz7MYsmxhaeR4jTzPJFuPGOGUC5kFSpTvq0N
lJZkVTehjCpwNU+yGlrhigek/lC4un6NU/NBNvch2q2NiYdcNGbjc62R6mULYe9lryLUG5w0p1uM
ss37OpvepnYTsz32UVugp8RJZDzGNbpC7Efnt6UlqAnmQjEuPb5Kz7qHM8m/v1tzfrcsw4INmaTh
+f3dyilj3m1aI9BcwtLfSiX0lMfFpsl9cNGzWPqbOvqsp/5eLesAJpoLhEb2yo5pSLizy3qiZp8S
Lcl2sjam5ZFbJRSfRFu7EWtdaIFheEXbbVjVxLPXQ22PQJmCdOkhVHDJWQphneQJ0g8V8lly9NuJ
thGAnS6d2dcjvAqlDq/gzXy2Fv1tjP/FCQH5Y6sMzrOq8/KjO8A6ct1r2cWP9dycufBsqph0etPG
zvPQGNGSQHx4kr2NFeGJMcZPvgZ6ujGx2Bl6xXmuII1tsioaNvIsXe8JR7ZRdHGVxH2aopN8SUfp
1BNKr2QA55fyoohEbpUpW1kd4/HThO8sGlZ18VD73lq+pNuQG9MmnK/bLtGfTFhjceicm8Qg46Gq
kIsxsjrjlG2f+1KQe4k0ywMXat6PY2IiN/Sze1DAMLyfMk3TyE0UiX3Bo9UQsE6C7t4P2u4eoyVC
hwngUM+niuQNBjL9+PI+Qmu9xz4ykrMcj+tJvTU6iJayWs0TzlnceS55Tl+lYommiLt1DbFt2rG6
GTL49iwAgNpXClerikhma1j+t+C2Dbr8Gx5OKThBf/YaMGHbTo0D0b+PHoVVf3ENJfsWezrwF6v8
aOiiXDcoE56IRlrnYtJKPJBc+3OklCs5tHTI8+m96txNCd5woxryJBFVfzcVbreQr2dBUkw6q3zx
CqCKSjmwGFNicawhVa7z0HKeAQ6c5dAm0j91jgoHUbc03hQRHfkZcq8vlzb7qL8/Q8we6u0z5Clr
KvkZKlhDj2FWfgG+2228MjY3iRpPO8AB6UpH2ONRVrsqzlZ6oOqPZlP/6J1c3/ilqsZ6uSNplG5g
O5MnMZToScUnfaWOanUBDN/vSy2ud8gmoyOqhMnKRjfv4zh2z0Cgze9OfawTZXptSm4TiJBHEMo5
e3K96lITz8xbBBd6I3vp0zLYopeVIn+X9MWJyByWUfPRH9UWkWdshs1myT6A0WXZj7AjsIH2mtS6
JJqx9gYlPJE2cpYJcde1bC8dHSwQROfsZIh8nTc9lhF+yxmGG2L84g7O2wT93rBNXLW02V7PttWT
aYIFnWtl5IPiyavxrbOrAm1dVR2KBHOHHCJ73U7PjyQQUNGPSFChBLZJKl+cTeKbZ2suZDVIeus4
YS4pa7JdjtBS8kckfWyUqbMI6vt8bp/jcRSIdBPgerOUAuwwXR8LhP7vQx/AZK2Bs5BC6PZUP1qu
E9+TTg/e2ovEXraaXn9GbQO2efcNtXGeYcBfbv3C9HY+0kFbJ0iy+7gnydEoavfN6NUlAtDti4pq
0woZR+2CdCoOaG0SboZSqZ8qVXv0q7hHUgejrDFzn0WEh0qk2fGpLcoeDxBjRLV/9K/sMSBjZ/4t
tPL+ZOiNdSvmwtTBLYr8doxCa1YUa89AMI/w/8BaVmZc7fWJZcX7+Lauw43asGWTbfK0LgCFP4Zt
upVV2aGG1Suy9eLwPswGSWXXeXoDedO6TUqvvnE6Zfk+AGUZlmbR+PV9mtqwy20zQeqTJ8mOtg2H
VZwEHpQLJpJtWpMNmF2H6V5Wu9yzNllYgIZQ8cZxffHssKU79i4gAFmtxzFYo1Sj7mTVjvPHhnTX
FTKVdw9DfVM3rXguRh8Cm3unDZF5JnWBBL+vfgeGpW6jqmBLI9tkEYZZfYJzBW2ZseqUGxtvqop9
02WfwAJDPXc9faWpTnTXj5m4mvqXltgCxBnsKvbImEF5nTvzKo/vVDNUVyrZobVse+vwik/GqGtH
WUNKUVzd7IscLltCoal7Fq2/zhMluQoqolHWld11EEmb+pMPh+ptDjYXwLXL6RPkF2dZuWSmI1L/
2nwDCtF7vX+ved5bTd6rBlQu3vu632o/z5M3uZ8j5XnknPp7vSdXPd8Af458e725bxbc+Q/nuYMP
+tHv934/xmeYjfFZxN5dm47dDjmW+PzeLo/e2sqBhFkPsoHh781ZxZ1+Iev11H1NfID5+DOcvVTk
Z3kki7oc0VTRkxYDsb87PE0Nh1/qph3uctVPD1GPD+XbNO8zdLUyrrVo1u6b55eFnItFQbf48I//
+tf/fB3+23/Nr3ky+nn2D9iK1xw9rfqvD5b24R/FW/P+218fbNCNruWajm6oKiRSoVn0f325CzOf
0dr/ydQm8KKhcL+qkS6sz4M3wFeYt17dqiob9VGA634cIaBxLDdrxMXc4Ua3YpjiQC8+efOSOZiX
0em8oIZm9uAS+jvEcq2d6V3HAwZ4rRwiCyctnWVWgfctF0rYuyxUMAlINn4Um5dqEsZbkU7axeTW
eiA3zHeNWpJ5AZVfbBXNbxfv42QHOTcMNPMQyeQiJCgqsl2ZOf1ZZOlwlkfGz6N5BMopGcs4cKcB
W5Ozp2v7Jmzz2yIESuuZ4y81N1P3InDHzf/+zQv3z2/eNg3LMh1XGI6tG47z+zcfihEcnx/a3yps
XM+WnuaXvlWTC+4W8zHs7Zr8xtxSrsWIMxmwjQHpkLn40RxVLrKBZe2dFZKbq9RUBYI3Q33rhnaF
hAJtg2cJ4KRqF8Dq+7tetNXXMqla3GeCpxK4/k1INvxJ1Z+SuGkfDUhTdzFYbtnqtE101jwohrKa
aCRVBkNBPH8+R8A9WPtJXUHeb8UTWItkOdlZcpS9WR7/Mv9Q/DK/Yqj7vq0gWnoarqee1yDWUXdn
os//+xftGv/2RVuayu/cNh0Nypdp/v5Ft07msGD1s1ciIj16MXx/8hv2U5cvVSBlAbEPtTz5Hb93
9zmyqHWWHd7GBXULUxgd0UNgTtWJsA582JgfXGqNLaaZc2PnzPhheeh55nxo6z9GFcJ67UrWXaVf
uHs0q4x15zTTS9Msxpp4+IRBzEZN9XbfpqbzIDztKvtTdjlEzPUCJqdnXSrkjZd150wvXh0/DMSY
H7gH/DFhAvzgTnUNgIbLIUG3dBLDtbPt4NT2xVnWEAkcrz/auys+zyjwdUXmLToD5UdgLsbKM9+H
cGpjZm+n6opZrSbWJ7s8AuURIB2ChH043Kle+TAOmobBW0csyWnmz+IrH217PbZC/aSi/r8DLGS9
Va0xvGRwWO8NB5OgMBcphqmc/Z9mnU+vDLQQ5E/jv367/dXydvg1L8Yq9IPmj+q/HvKUv/+Zz/k5
5vcz/nUOv1Z5DUjgfx21fc0vL+lr/eeg32bm1X+8u9VL8/JbZZ01YTPetq/VePdat0nz9218Hvn/
2/mPVznLw1i8/vXhBf0swqyYs4Zfmw8/uubbPn7E84Pg54NifoUf3fNH+OvDDUusPPsPp7y+1M1f
H3BOtf5pWparoukBm8+Yr6n+9a1LN/8pLCEsW0UxStUET5QM/bPgrw+m9U/dos81DPDtwnB5DzVU
nblL+6fruqZtG45l2qaluh/+/vg/nmJv/7f//FTTSJb+dtELeHYGb0HoAsSdQMlD/f2iJyUyxT37
8mvmfXbUsj6gVl8frGQalnU/7sbE33h5+xQYpXeYXKdZmlX8iH/ZN0I4aGCFZraEIfGrgKfU8/Qi
GPA8RlE9M2atZIw55qIyUG8q82RLgjRAB3XCeWNoCtBTg3JO/FY/yCKfY3xTGumrJq/WLpofe0vT
CCVAOIe7YUEqGSZnkfqBjdFL168LFK92rdEdPcP8GiHVcC354Wwaw33KHPxAwNghlWpfLeCBrEyu
Urk3dnCzacyLhsvKSa/TM5uFCnqi8SW0gtkIXTn6Zm8tSgWxKFDxdsw8yI9KNVh5JEVGLX14KvoO
AGtu3RhdVmxFgiNLp5KLC9C46ur6mzd4X1V86g5D4ozrvICZh79hfzCdQVv0sGTggbSbTOvFsZgL
txsMZEnZMeIMWoJ0XVXAY5Y+n0aJDiIsUC6dC6m1KqvySMtmsHgT8y/jRp35lrJrkGfrSt8/gtBt
IPjCa8k6bSV1U+VncC3Lmne/iyZ2cGWXH07l1aDcFcm665uQZD2pDhASUaAmx3HU0TTMQSLoVWwf
nDYQq1bVb0LudppibmQMWQNiu1B9RKG5Lycoi6ldPS+X6lWPvkXrEykOG5LoiG1uM5GhK0MsrFiJ
1tIJBNnV0ZsMHc01gt8I5m/01Le3qt1pe1CGbxqw8qv/4z/x/t/JWQTBxGy/G7DD1GL0dpo7W384
Q7FGmrQ9yGIYTHyTcvGq2iiKLlpMHFCiqYCtiOpgzReDPHovBiWoD3pCetEcEVPg5Q+ykB/oj2po
oJ9bTR5ag7rmLsASQReJ26Q8vB0Ct7j2iAEvQ03/ZM6qydBof0gnv1dhDNBhV+bOAdIo/9NSWlce
vRfyxyCr0ziUK0hJQJ3ny1JejOStQcAGs8SzbJS/jj4SH40UQT22mz++U/n9yeK9DT1QdR9HB6kw
zdMQDx0QMOBYZ+FcIGPZW08C2mTlFMh6S6lcKZ/7rqErr/M0rNAHqeMgXAg7QIi2QxW3MqKUfz7P
VAypf9YTSAdjc4syKBQNZ9b9Dcx2mBDOfEHXuz0QbTZXoYLuGdpjCIw72nQQcyGrstDdqIaqXCjg
Ij5FWrrTNGBEXRYTIGoMWFR5vnB1xL/QJo0bYNsVh2U2ZtsMWCzIvmcnB9Gf6+rKDlvl4BjGw+hM
6YakEbLX8k2Z64Zc40GdLzbZoM1fuSyMn0ey6tYAGVxkH7FOzw7YFGQH3av1bYqLKA8IHAwzbU8O
Kz9CS89BDSug8cFL87kpVKwyUJXqw81kDh/DtHIPuD8GB3N65JtFZNdHTObgGRRd4LaHkQt+4wXi
YwEs6ljZ5oMTzbyz+Ysk3YB0dwoTCSBYuhrmG5rs6EIMmj7aKgT8sS8tIiF99DCOzcQVjZ8nIfPa
RUIr781i3Xb1BbwQhBHFXGLQBn8bKzwfFvX8pFvquvctdAF1TmWhgZZA9smr7hNHDXd+3D6pZgmY
t8dDPnNfoFYJZFfSW3dDAifB9lU99WmYbLKSESXa71jqYivTRyjIjcm5cBC+cYbh04CQpjbEn3wz
d/cGzD5gkc6E1heCOvr8UxiGG4Pg31JrVTZfmrfONeBxQ9teQj0nKhc58UHPEKcIu7De+nw6Ng4F
mgmj5a/Yj92gJXlKCrS9uIiQgUN4aAIWLfz03OYgR/RiOoZCWUEwC/djg/xAOdw7QY3msYAfooLr
WZBS0FnF8XwTzrArRX+cor49FA60WhwkoEPFI8bGqAPi9FitnIBorGEaCyQpviqgkw9Todlrw0Fs
YKhr6GbdrecowVp3O3b3ZbwtovFGiRxkF8a+A64Kd6JIUK9DRfPGMCLQgbVIEQ4mZhEZUL8mksxp
aq0FynW1KDCYgkYE8SA/4tBB7DCDbyuGuiQDTdjYqL1mLUKYHujf5X6krwVS7kuEellqh/CGhwkD
FsHiqiUKC0TF0biH5wZxLTzs0P1HWyqNX0ccYSEKjg9tMmJuY/UPiWnoa6gWpD8MEtN5Y2zUcVqM
FrEkV9PbnR55xaYsmJRV/7WZAAzwjx8wwIqVy0BgaTKIDo+JdXESBSc0rwCM6aWPwCGGdWxHGnhs
83MeFYjpT4S8jAmhbAtKyJigUYKHygZpG2TRK+XSWrFKuMKpl20KrrkDRHDfR1W9EWgvrtjULOEC
k5QpBGwaDVaAxjrpS2IVgCo13ldotMlGDxBQcdAogn4UtMfchbI8sTPEYnalquG3mBj+ok/h5wa2
cm47tETHEjdAnue7ZuACQj4c2c6uwOMVrG8Hl2mPR9DIfdZd67GFDWg7frMJLpOxQ8kETdnanL5p
mXG1U+82K+xznPCdWmr+uXHrT04JnXJwiammB5OcJIJeYCmDyL/0RuDgJWXvWFxCAo65OgNAlwvh
tacasbrHyfaUzYhiMJahyt7Kisd4jPatIEtbDajTmUqLXHOEAjRQZBL/oNjM4Cm33K8JpMt1rfra
ylGFckEpt03zaGuPs8iVhpwAPBgoUcGwVNuxZVulo03ggsHUuv6rn5kJigtetJsSlA+afWBpz32t
6qtCMUGt8qCxXR2a1WMTJtNqUMzvcWWL26x6qMbgRIwR3QKQJPsqhoDNulQHOtrxdlE/qw0DfLeI
03UBcVHRh6seA7rztWsY+pg5KH15jowA8pK/r1PrFTGJj1Ph60urVE+GivSMqXZgrI1iBf/00mqs
LYn9uItm1pSqUlU5px4K17jJHlFc+F7kPCIq9MA3eWIR/dEU8C6Eb7AoKQmn218G7FcixS03g1pi
Oj1F67wLrOUQa6emHS4opqBCmsUYe8Z3lZqg2tU1D2a7MurgJmnC6jgr21Z4OC3IdQ/7PkbFGKkj
4KgxzqSVAzOcWz8ClUjnEumpWIENoHziqV0VN8gxIn9nZahkmaMG2yVB2LFVzo4wXoT4bIyhd8SA
B7HqAOEF4l1r5EzQd4rja2+zlCFbjRQ8K++s/tLBm9zYk/IyZfUGHbWPgY90cTuhgZEEBqPc58BB
vLANa/YPpreC1dvu2kI9KgPeoC7RiHWslADQ3WbPF5EsleimgCvo4qR9nZwU6PoysCPyCRbwWcRo
NrES2gslRpOgRwMfnpPvHjpg6roBiUvniX0cNZjBodciYZ/7kE6u1cwJR/xeIdug88Ui9t5bMz9a
DfOdHUZsc1QEb4d842G3fghI1rA5mdcjsi6P4LKVb9W+jlAIVFiSzdsXWbA2Ld6OZJVHIhqxdfY0
mAXL7zRDyhr2KDjDKFshZZUfZNHDtn47eq/m7SD2/nDIdNZ7KDtq4N/HewQL0OyOimyB01h4tFvb
WRVlSFxwXkoAwE/YJUHjq4kgbgPTfxzQiDNyFV4o+JN1GbPyKjXMtVoku33NqEF5UEyzX4YsomFg
BeywDMKe0VulZVofbFNEK70O9ZkL1HAP9ZpDMhdgabDDDmCcm1gXZGP3EgM+Whs6jLK+67ayudLw
p7D1bpcibQuMBRkBn0Qpe4zxgI0jFjIGlG9ldkBxHB375gntl2zOBGu4oEKUOLRaX/1SNPOqXPdT
e97WnbFKzQ+yKGariRQ1zyUR3FmhFZM28l3FoTHFqCLKQN1NvHETp/aNI5yCVSI7GriNHBqJWhyi
eVUuqyjUpQdvA9CgPPRxE6pLfT7k3hXg8cfCsO23aGJMFzSJjl5oavfCyJ+8JIY0FiOS0A0q/Oyu
PJNNNB9M31tGhnNV0pwfd64pN5EdfmsDA3Joj5bBiIjsxilU5C+aCHnXufCC5nVKrGQDd2M8KH2q
rrWK/dFE8hyLS1SstoGnfg4zlk+a9TX0RxwZxq6AXmILRGv5iQQh2ndjn1o3WL3v0CYP1llgvbTQ
Fk9l5x2SIPQvmVuwNU0NnKkURAotq683daW/DGy5bIyb7k48Gop7hEeXKeBNLHb8B8uBzNIUaGay
G0fUVGQCOQUrPlgkPjWz+45PVX5utAZ9s6Tw1/G8X1QNHb9iQZDPtbXqJmj96qa3AJYOat5ucWU/
8stzuK/OZjKhlnFV5pO1Ci3hr0wlGM66O94OSf1/2Tuz3ciRLNt+EQucjKS9OumzXFNIMb0QUoSC
82QcjOTX96K6uiqrcG83Gvf1FlAORWaGfCLNjp2z99q31mvu+SLkCdFc/uhakMxVce925xxjJGyj
1oucOkcUxha/61ZvG+f6zaGXQINpZS8P+ZrqA0P9cCqskaToeX6qRsfEoNrdJl1x/ueCgYGCNbzt
bKbo/gyBa62uNITVeVZBFNeuupdL1pNgPPeHNpvYz+csvyGnCQ6mVh9ota+JTKCAhUO3Drehd9bT
vLiPPapU4GgaBr/BSabqeenCwUAtWYIBGF086vuw7c31yqpwpnVpviz+CjuitO2z1/S/OzBBW/py
c4IZeyD20d3jKsuiJZu4y63lUUv/ux+4j+k4W2diwbBZC/GUzymOz2J+owf+06gX53FYuum+dtuw
9mvjJkwnPqLM+50xBASpaYIC4YxFVC8u9kXMUUXVcqR8II+MdnUtJuo55hLm0MDTJ/ZHO9rZMR+3
WNmCFu2Bhb0uTDzCwmjk3YlldLEEGFdzLBbALdWvwXFobUrs6GmAtMMOyiRk4jo/FV1SnyY2ac0D
p+blzp/ti0lFAReNseKqLOusyu9LkG+DWr7XUuDKSEc8knDl7Sjt8z4aeEeQBklzUnk7HdM0kCir
eTUZFXzNMnPs18UJzQLWAQ3gZl/YzcWm6YA3J//WeBxk12K48/DBFvGTm5jPHV2aE7+23nfJiCm6
hLxoKP9I1x6aVwc/uZiLBzvr9ykDuLsAX/1+qVyye/qnwpz1nap9Da6cnzii2CHwD1xJHravkhM1
KCQiF7IqCUm+lSdOfTcjTcpoKZ+nnCQqKzbzK5hok4CtPAnZjKxLs0wHd7NHypwUF3iWZOws+zjX
097sJJ5rT17cqvO+FMWYPpOit/vW4SqUQ/MLN7x5LLYzDujoh1E+zIM2b6Y1vaak1T6jKIIamT82
TYqVvzLvJ6+BNVwHjDbVO8SPPiT/bzjU0vTT0K7Ws+4rZorTSE2mrfKhLxOyPNu0uC/7d20mJUHp
jjqng5+8gK8B/YaqqFP8ijJvfmvrrpwCL0zq1A8rNUyHMlHNvemKYz4hW00ZqF2bYXjzET3cyRE6
tcQ5GuWW4FstcYHR60CD0hi/x9ZfDqNLGgnCra8FbBiiLvIv4yDVPfEIzXl0LXi9rLH92j8ngr6G
kQh9b+UVx/ulOM5+vF4GYi3NplouxBZwIYwpgPvAegSGkNxGYA24hxjjOeY9u9GPHs/gpQ7mJz+Q
Fq15rsANrzS2xEiIAT4JnGlSP0nhRl04I7/25SsLTXm2FvvMEfgXvqbyxlxijgYIdQeGR/6RSTVW
j9xvg6jR9sUO0vFQbpzaCmwd3yxKjrr5XrgcdtU03LLeth7gqFrHvEDiStcYT1MFRpogmCqSqVZR
ayMTWomf3rqp8wk6lv9r8AgmhMTLPdWfMo9oZny+2zXcHJP63dWmye0wnRLmaZfZeqfE0KeiXpqT
KTAq5Gl9Xr0AigGZvIe6ABdgZPOxJsFXlv5HTtn+6lLdjx2nyNQwvJslLmlbobOpl7ccYyIgc24l
b1rm0MXxybZix6+Q16U4o5Mg/BDTwxPl9RRqAlrhUkKGMEwi1AJb/unXHNqyNwyUuimgeU9gNCC5
B2c6BfZo1S8dVLdlXSA0pQgAxGwHB5QzyFyzrA97GJDhCmQ9grnXXjqtnINW9v1nFWYO/rojkHzY
jU3/FXgEo0/VWBfGk68d67Q7jDVqvNGn1YBjvhuTImIru5uSLLkTer4WGYltMcX6MNC3FjGBTd4q
bqsNIcOOgYowlj+SE/JrhnEYMWF/9gcGip49XB3Dvcp8HC4pQXSAcYEt+WV7DkQev4zmOEepBum7
pldddqxPIEVZxrLqYVrbyEqke5PQvxYXTvJUgUkzLcLnfBTRZqNuVn/PlNyn8I2hiwbT8iVxfCih
RCLQinJ3tiRnpunJcU2zMr0vBbW37yIolRxfu8zcKQvKythWf5SZQ84MpH4Tqn3OirbaCxL1Nhwi
ZNw5flmXwqGtuWVXwAe5Sd+n4SDNu3EjbUE4Ts9EIPgI9SWnVvsLJ6k/EDnnO78HO8uJEel9A2lh
sGmbwAnQK9AHaP+Ep1Rwi4KGBLKBRsdoA/ds3Wy+jqNxkApWrbOx6BVqvofRiR88923I8/EbCkJ2
NmCOuyHofwUIW6wdq+S9MaR0omohrnUPawyC4lOnMLQQPBKwwrjxURQKIm2raHL21jPMYMrLSt4l
U/ptKSU1Ygf4Fv8tLNy46a6Vme76iXjzbZ8xbxyO2A8ZPu5TG/JfM5bGXSJMxOxYrE6VpU+tBQG4
3i5YR9lR4c772mshzMjeACrVfje7AIOGztMrmdu72fCbcPQqOyKkG4XzGr9VSdu+LtyI2RSwyAo5
PxudPq6tkXzJ4/qke8E1VjP/sHJIXysRIUcRAIVErQzDQ7tRydF2X5kJ/Bk2mn0aK9iCPcykQkOt
QaI7XVNVkCXjaCOKB8e+ZduzgHokcMxa2UgbivnAWXZFlU9014X14jBgjLy5B8PNsIbjQzdeMoQ3
+IX3NU8aBlNvn9KMCrXomvsguZ/By6EzVwA/urI8E9b8ZKF5OEjNF+DLQRDoucUWjZINgCN2GCzG
yNzdBbSRljcaE4TrSeM0dTD0HUi2BwJlCWJL55xRkI9qwWt+2YKiCN78cIwNEd97kpYEXNbkRFV0
cMjuifTaZ/tsBfHk2lN7Fk3AeQ06JMj5dYp8bUD9qY36+PlBW3g7QRYBz+7inYcx4+oTygAY0p/Y
idY6O7h5F5wGj/TnTWdgmWD94LWdSIGn1fXTcGUX1kHzYuJmOInEMS45hA44+sOtqfSPqVwtVllM
T/Hs0lGsxtU+UCvTIO2L7243r0dRrQ6p2JU8dkv1TqaF2iHD9U9yMkv6kTWTE6e+yzyKi5j2auSS
lnBtdHOwUOXT+mZieS78FuGGydCpyR/Yk5NrMMTlzUPXLo2iuR/M4eDwzo54wTkYiuQZ85F/q00+
Kf0dSIu+g43ZkusEmtwNBu9S+pJDWmM8izz3r58PgZpyfh2cXtNxqwfRtgU2qorlPKGEhMChjgBW
fCIwvPrG2ya42gDG4f0QYpTnePvT4Oc/Zq6HK4f6iQY+a4F2vG8VzN97iJPNfe7Yz5i+1TXPBjCs
nFkx2cz71l70c709zBJWXj0+I16kJzrnCqLPV1KKx6srtqSQXNl3hj8gzOjILCjKHL5xZmHhk4WO
6tJ6tFMDnfOacq0vaNazeXWOlgvwq+SLC9O+9c/GmAdI4txDKxhYTqvKjllA7SpZu8BOxvmFcPmH
uef+bZr53Z267GTzpd7XCfmJeMIAlyLqdFNYWGU+/tKzcJ9yLkPJlgwmuiXvz7w3ksa658x7Xk2f
Qx0WU3daKc7Ls9uI/kFagEFU65u7uh8faBB2V52QjjIkboFhh7JR0LgtFzneAhXBQ2Az4Gi6K1Ee
gxJR57ZiEcaMPtzklhpGx+kxGLiIHOS0lJl3qK27m0/rEIuPHZWt86KFfW1VFxwNgkbOSUA+jI0W
KvI7WTwUy/Sw+skEDhO+QyHJ9JFNdibrnD4NoALtNjD5mK/21uKCh4MKv7B4hnPFiGewgYBZTQ3I
Gewo64fkvp68P1muPswcRb2sg/d08S+6n6r7ZigB3eYAgLq4G/dCrffK2Wz9ElZ5SnN6h8nMOC7z
DGCqZKvPOTYddEW21lh37SEzoDF3vhWldgLdRCgk5x5uap9587r4LQ4uC3hOqdOrKIdnM8AzMDUD
r3WmTG+D8aWNZXBHA/cFm+8SlnHNrDez4HOO/pmMnAZb5BlpoXPmzM3FMXJ6W8R4rAS9XWvt4B7a
4FSHLngaZtpTWhR4PgzDhccITb4e6SgBrvhw0Odc687fJ6ZoTltopIN4Z9eP/bfaa36YSwPhbNFv
40hlG8xQTbb3MQadODqr/02n9cbZS8qTtsbXNJjGfdqEBmO3hzX+6s1ucpiMbmUJ9GgQSya3PoMn
fOjuS1tcLdecv7uCfUcrdNOGGCGbbLP8raP1b3O/f/4z4iVfIDjhYyH3i/Vs6yW12zR2JCh6jGnC
NND91gANFsOnOjLkWLIS5JsHlVRNqyaCr/Q3DcLnn/Me3FReJWeah8CTpKbJCkAssnRK+e66MxAy
We4zl9TAwEyekhGSCBDELPocHn9GglJDwXBUpMeNGdIEs3qrnGCkLQtvRj3kBCweE0bHF711ysxS
+rsYXVLYewD3QEpWUedAFszzQV8+H9Iyv4+HITt+Eq77xQW/OnNxV0yxrnGhOCkL+4mbRe3QyH8l
sszmzJKRwsJZprnmAO1Dhv5VZEpchjvPatvrsqE80mI5lw6g8sSBM5Rj3Lz4W46wXNl57VWuJELL
Vys3Wjy+W1SBw/YXY2i7ZGnihhxB4OZt7+TzQW5/tdyafP/8Z4Zj54diaV7/bQ4dO1RJgIUiMcf6
8vnOP39q2nr+yx8//4XfLnmkiDLYcTykCkY5ffn8KfjHT59/TLcPrLHtl3Xo7tOucsKqnYlgTKZy
v4g0vujtQdYgyEqHTNzJVePl84G4Iqi8qmEcxLhzhWVd7rztRwALDNa2h88/rjbFaJ435EvCepqC
Yrn2yWpSB/BhbK9t3Xqa9PM3GUbxKVIoWJ3pqjM0ZlpBwZs7inNfkB5x/n63FsKE061papg8FJ/9
UmqQ/iJ98XWUObYfJsuXyp6Hy+dPxfZTWpcCoTOQyO1fMkicz6n/FdbJeGmy/O8PQzulkZ5KZzdt
98+nUgZs7qVqIIBWBvDm1evep4CmGQbwCcvtglDmHw+T09yNtqWOwCZQjYgJMMtnR5jhIEYgArBP
xuTRRqSTmc3uI/ww6z9Fmv9fIPY/CMQsGbgopv7vArHbW1Z//FUf9ve/8Xd9mOf9TTqewPqLaDhw
SGH6hz7Mt/5mBiZKTMv3aNcIBxHYf+nD/L+xtsKq8aVpB45touT8L32Y8zdT+L4wUZVJ0+XQ9r/S
h22q5n+qnoUb0JFwTH6RDBzpWZ/qsb+onim5TGOYjfU00hglxIVRFuQIFsud/cu6qJ/ji3EmK50u
5RlmzV8+qP+D5Nr6V8n19uSBhUAusKTk3Qhrk6795ckbbM4dArj15MzzDorAOlxLjTnl4MFFJeGS
Q4D3Yen/16cV//q0BACISYGAOanvYxem1cNoHPdjCfxvF/dX0R4Yvf3373RTMP/rp/yvb3T7Fv7y
RgtPqpiE4fU0OOG4PlmEb5GPHu+WLBryr//9c7koBf/96QLLYl30bRu1rwX64V+fDq9SC0O7U6dk
0PEl9fwjMlbagBLISR0wj0Sjs3caDkGeJCxjcYqcxoJGQeQLBCB2QeVXr/uchsuBK1fiGWUB1x38
4hV/GnlwMEyd3iT/1je/xci2yMyyzMPCtjTm7u+pk4hPaCM52q9PdQJKVTnVwIGXT5hkwX2aa3xW
nR1Vub65noWoaO1z9p8ev2gXHCb+F/UmPcXGpOC1n9FfUTdsmpZ5SfYKGS+VQMVGnKWXuFERbXsY
/sDFaVK9OgEMF2PxvxD1EX+5jZk9Q97PTlqvJu5iEx4e0X4Wo7eTp94AdHHlOW/pgj6oqZdXYXog
JUeKEKw3vYdllk3h5muAqEJc6nQ8a3v45TTy3o5XAJW18yGq8Za13U/Hnl710kZ9398MIF0LXefQ
H/hkVwxFFBUxxFkVjtoAUdzPSbiKaV967wxP2xDC07xbJ1rdxIK/wmWC9tmqn2bCwCYF6VRnTO0X
A84YaALG5ARxO82pK35Ztf1BY4mq2OGbYEAceTa/ygauhWKhCq16fWqs5thqSJiKPjqqpvRkdMv3
2oCcy9B8GBjIUOdaFbb8OrPmXdtke9dtfsICh65W7P1x+SjW+TX1nEgkDA7U/EqSZkr52x6n2pvx
Tq8fjlO9Ju3vuurfaBvS4Q7oRKDToq2EzqOALuvr9udG1DV872DXgXtwvOlVtNWHqZt9RspRtP2e
yplfzUU8LM2j15E1V8C3JbggZG4YRMFAbeClNHhZrlo1R2uNIZD0zr0LVnHN4jr0K8IwRwNPe+XN
BRUG/GNmRXyyLbhDz/xDS3XenecAmWbVuB8QgO0jcWuhC7KbedkjgS7givPsT1/wDqqeSUJqEEhK
SHRYOSv991J9z52NucLgRjZgMoyUadJYFAwf+a+N1fkwy4yqL+Gas1eP2SXVvwXCtQt4IZ3LmGqt
V5ITJpwLzOBv1J4YROCZph2v2e/rJ2mpZ3flMikt645UuiScDOpdx2S4WdJkG0pzX9uWe9Ad109X
DJqzI675xYyymKFsWgCxW5jbmlN3/PyiZcCi08VvgQwe+V1J2Ays8TEfhrbxCJNvzbMPERCgW9La
T4tP73W7fGtSTyk2m19W7pGSFJRPyZKjVEn6dTe4wTN9HcYAEJvD2ADQ0qxFv3PESoPRK87bdTMv
9UtREYeE5iR0yuGn1REx3Bt0JBuy0Fxf4vyWakH8gkJoJoEMH91HaWyo9NQ8TXAluX2v5DigVEFB
Q6ICuRqFesxqOkOciZDvDK9GrYjhHfn4Pq88k9g11l2Gn0n7E6sxV0IGbDfPsb2pOMFMwm3S+BDe
EJ92KekCtPdIMveJErXz0ySQNdgt+BJKMiwK3J0FadnKMD9wduPCyu9JQyQ7Z8s23B6AleBiRRM1
ukoBXtOvk89n3Av1kwQqRZtrfNrEZ7QHl2NAP2DH7YxG6Gs8KXsP1Q/12VC1hO+BgGf9JBgBIUw8
VuftcgoaYwJwxGKWDFlEv+a1dL6qziZnJWiJ7ai8J6Ykh9zjhkzBhS7N8nVoW2RCGIRp+610rFjy
P7/PwkR2ZRXhUg0MPcZih2xgJOCLN4VKzkTxvMsT92PoWaimhW+k3IIZZpokdvwctHwUqANf3dX+
UKVmLZYEgjnecwp52eOFIXiikpUgEt3sSU3wu1X9atiFOqhsyXYScub29+d1OAi/+SZt/dpNy6uS
VR8Z8YPpcTljFKPnn8+vWCcOiZ99GWFBs6hyMWr3w254naPe1hhV/VSZeAUcPCUtVjHlfDT58moL
rkbWsrM5O0/apd1oVkAHuz9yRX4lbAIDtvvY5RtdZz6u3qBhNTXjzgyqJRTd1lHzl6NroBdY+9to
8lFUICfCMb/DiqLprXGhzBzHWj8gZGjgbC6KnNOZ9mi/sv+EaplvqjTYNWWiUFPbH5lvsHbm2Us5
PEzjkQHy16U4zRPrpyF5a2CPiZ8xlnMv1c/tI1k6thjbnYD0cTdVRbmExbR+vkHLgIrTjZC4twte
tMPPjjySWtLCIGyq5zlD5gdThKHkSOMdhRW3XmWnIFn4wmVMlJ3ZV0++2+OHb3+mTvJdFTTOM989
ev5a3C1s46Pf7y2ZMUCe0zIabAcffvm+Wh4ghW1VEzFBLZoomJ2lUOCV6wCdTmNX1sjGtC6eAq2W
EwQiwJltnIfa75/yhYiwRiprHyhA16kg3KrmFkoViaEIRVXNTWHP+pGm0f0Y99jWcNhpNBLltvOl
Q3lzcsTDRkP7p0m/sEdf+QrjKJ8wIBR2Egb6tZ396kAIKSbkvKlDkq7+DEl9rBQ7AOpYxim1uesD
3sKAnCJKRbs3YOKEBncsetm6Cr1hecWTH+bkMe9ZZY1j29KZBwEOuXqJD0t/VfplTSomHsUDEesE
LXjdSuMy+K4632Ht4JhMjIzdMXipLI7rPs6ccEj6cm8KfhWb6u9erPu2ch/z3LbYAOe7gv83A/Kk
JR5OrT3ZdHJIHBfVsZwoa+J841gM45XGGFcpsZx1Zd+tJHDCUQBhmmU4vbX44flcyiSv81Sz/VPT
zegJ76lTcs0btY5nmhP7RifyYVXzU7qmdNZH922Oh4m+aIJyRPe4tglI2AUObyolEvzglmguclm8
TCt8YhID47Aoy3ejKaCmeCt7xZSQ77254ZeUcUfn4oBuKtSuK0rX3uYVTXo4w51yQmlohsLEr3rx
u7sggCsG4yesaGodY+HTwJeakQEBsYcmoQ7AZdrPBmnOSg6MbmyxY2AqdrUxH/ycAo63gnhToac0
xzU44cy6s9fuwdFefe1XMBQGi880M7F00OK1bjiLyTwx1K0OtGCits6YcPpoRbw+3tpv8LOtVWSn
KdC/Vr+tL/QKdsFEus0kgnAZphdcXS5URyNid2i4iMwAZ2cAw4k9HaKAsV/736x2+upN8x09HWs/
zGifAoi5uQVdPxPEvXRsQP/5IrIuJapLnNzlwTbWOzlnP60t+qgzNRoSdCXcH4wj0qbpyXqRdthk
ySE3zG9GEg9hNrQn8pfN0wqTgfkJIqEZ+Z+dD+rYcAgl8dR9WZzs2Un9KvLJVyY00a0jfMzM2mRc
R1ZD+dNiejvOc0BEpUMd6FwUe2/exc05y9N2L/zz3PjvceCKCAyPDVQkstb5N3kcdhSnVnvL8vLM
AkxRMMQQx1HPY4trzdNgN881Xoid0fW/em7NfdP+ziouiHRKf7k2yrZl9ResP8hqmdIz1ibzNl+G
eD+3USHm3wT6Aaon8o9Cq2HdXqEybUtuZ5ASXDq8+M8rioUiI+ad+yVmXO8RnsLQ3VdAw1g9kuXO
0q2HhrCuiUSCa8In4WwnCXQI1lKSPBRndzPmolL8Tkq+7N5rSOmpa8zSa7nHooDnEHEPgQjZfgni
bu9k2Xsx0NQiM4wTCO0lbMbGnvb7tONwS2UTkHIa1wMhJMB6Dn7Ss9NbGFoN23zNHAKdEgBTJaev
UBJweiy0eKuqCU85XTCGKo9VtrAM4AkErHaM2cIPORRpjlbDn1mxEeu5eOdURIrSxoZoO5dauFJH
wxmhmbUJOzpiSC7jPBqctuboI0iosr8KGwHUgL8Dv1SQEdx7TyojJIGUkTMyzSlE4PHcmiTd5lP8
UjRjeoS8i92YbPOd3XfNYcpZjwabnO+CVbGa8qgRzp2bFe9prWv2tvPo21U4lvYUzq5LcLP4PXJg
Df2ulEcFOgE5IJu+6/+uEvtPzSj6ogSlbUte5q4jZPOTJXycPcxhokcia+ZMl4rxW+kxUm99DEeN
z+cSE1wWKK4COoJPisDFyUcfiqaUKcr4RyjSxQX+Meri/BWMfXowbK1hjBT3okbYXRJTmgXE/Fr2
1F17Sgt4K4bZDRw2ESZQU3oE16D6Z+bAYQOhceqN+J624AyUYsfEj3EKzRP86+D7UOB2UK7xJWv9
Z7udPE4TVX8sHTLDNKgQl0bwlBAFB/mUInZp+yOCaInE/uaI+EsMTFeI575oVJjGRRrVE21nOPjM
YMOYETyRlkw0Gl9EYh1qAtvWd38FbQyY9KDl5O4TSQ5xuuSsNtPRcb8hQhne5lJ+8ZxlOFNZkUE2
e2RyxakX5dJnCdfijkK4Ok4z97XU8oGgKE7ktAzSkYx0r8eYVjgBAgvTfhG2+4Av591VJSgKC7Ft
mdwzYtHnWlFtl6hO6PS+B0JIFkXuM6s3m72OYUvMQZ9GfLpc7gOkmDz3It9N5HlgTLgLXNXvBm/m
FNcPdzNStb2bK33yIOWuFRHi9rLK7bTJ5SkL2JmJOmhfGKQ3blcaQ25MUebR6ew9z33QKSdGZcme
QzG51CtnDDMznMs4T+fVoNZPO7jpG52/QYXoWacaRXvo+fQeevoNdbE3JiLwjByZX22u2FkKxqot
NKFy2UlvOdoxNV/GOG0zOUcIwVvmQxFBcT9q4PnKmorLVJXvaCF+6nxfYKw114tLVbNrRffWuAbn
gtm6FJZ76cyY9i74/WA+Ek/CBKKonuDTfBTLcnbZgkMA4owFc6ZNacP1S78QUXfNCChJ4f+jBWza
pyYz3lrEszvqbFLgTOKEFlLfJos9jTIH5bB8HtKpjx6sBti7o9RvUzP2r1ti9KCf1kc/6w5r4XcR
EmWJQuN5FJxk44Hhmt0U77mT9DuzdnW4uMBKeJovtUvnsFjRoBKwFgRu5CEOvIv9gGA08ziJrwag
rePqifQQWxVCQFpgGVkHaTyU+6omoNfocBdkEDfb8aPq22dkLV/8Ov5ao0AJvbLjyJ7WHr4WFlXf
uDrYDqIqddU5E823dhDMJhmGHRDw2/Sjdh1jBWSoRGsWwXptES+UCa+AT/duVs5Tn7k3x1MAOU3m
lDnepbF05rPr8mpKLzi5QPPxgq8nrDA3I6aTkvO1UdU6j0zTeZXJgiqWgSnUd/eIMMXHwogMtexe
TeZ24ZwSzjDnSNgRiURJWz16vcvKTDdpv7Qc7yCZyAjZ1UJGKItg3Bp7r5seB2dWdIdYxEfT+0oy
4nAgQAS53KhC3x29qxOY5+zRMIPptKQDrrh8/OOlWzTQ0SeNOQQMkYd2n1Aj+WMQEQGHVKbMjxyO
UBB1FprgeEbwFEdlVdQnr0GdQ/f5tV0yedjOd4Xo1H7pvtl0MIBYp2Fas7zlObRz9AZMq3kHXQtL
iNsxXcr0jtE16koX8p9pP5dkGfo1w2CXqTmi4+W+8BXBj/NoU6x4x8UvSMgQbjRaVh3qvicUF5Ex
I6AsBNMGizxFGwyh8zYP88ypLYUeT0vwtEAaOSxWM58MQhWlw58ahtHfELjdjZ0mb9RAZOm6zN4a
lABevpKDabbGeRL5s58Y1Zmw9Cenc5wrMDFg4iz1helfzJhU9znvuedyKlY/thD80/l1kqQKO1SD
J9SxBN+vREn36kX37YPtp37kxEqGEv5xiXT9YAMV4XbGhIOS6zzq8jzZ9kOJtuA6r3ZEjqo+thW7
6xZto6aUhlN3ZcHhYL/t1d4IIkJzTMtTTk1SsmGLLZhqiTGWFb7JyGjtvjWIyarRpdZMWdlxRbPt
KVRzthdQyfnxowQ4XOmeCZvJjdTa5Z0iC6aZ1+UB3xHwNDC7ng2dhqBzsI+Q6BvyaM6okbd1MX+d
thcvLTrFxKJEvSL0E7r8EKKhKPfKpdXaiW9xszp7eyYo11O/28r4URZcZ30xl5e1YFcgZnRP+uiB
MYg6Wz1lhdUEByCTwLQXN9IygyTl5wS9sPZaaczMrJZfA9EbO+HymdZF3+8FmSUIRaJ8di+gG66e
qJ5Sg65hL9kxNfFv4VBEOZ02Phn8F57P7VOg+FlwATayJybPNLwtv/iAuqCP3O36GkZn4y8Gy8aK
LPeaK6c0jJ7j2y8PssOlEvZXFBm3rCQ8lvS5qFAJR6MfnrL0Hbn15UIKt1LnprLMy6BpPtYrZOHF
Kv/UnjeFRZqPByEoy+NxGPa9xTXPxT1f6fj+FmNHU7DklWGkvDHpfIBKfPDm+a6uiSDGIlw8uq3x
XhdRRlByZJvtGy7SaacTVZ7YiqxL8tMz/pCnQP5wyQKc9KQMp00qjyJPiIieGCr4O45A9rGEx3Sz
VHVqeq453gpV1qifMgRChssBQq4WLnlZ/K5n1neCmPNj/dqs877yWzTzwlS7DsZy2M1UbAViy3kU
MwKoiXG4X90JiSyG0w8uKBJshd85eAvJTffrCXW/o9GXmSm+vdhlZ1QVThaPTpBstgUo0XRpSZ7b
frM5EBUYLMN+7vh47eKX1rCo5FI9ZcvbSlLikS7KzTPAKKWWZDUp3zNDViQk4SbpVwuZFNJg29+a
gDgkMax2D9oOWkpibwgr3bzqwTV2CYQQIj/YJQBEUluTqaks70EbNKChRZUk/lZT9WL8FpD91nVA
nVyuJEClZOss2WFoHUD+2N3FhE66bREXd2+dOC+AxOiRciTvRfxOPjSOouCe4uog8Zqvkuwh4nPg
cG8cvNm5emW/Qy2G4pQ8IMOjjd31+Ba43zXvImjUW6EIS8wlyym90XHX7xs1/ca5XO4yq7z3CgJG
i4TCPcfn0zzP3p3jLQYt/plwCQilUQ1pYTeo+NB6/V3SxkiuRuvFaLG2BH0STdshIzWsyBTpEyrs
s0DsSmcAMYhZON/iAvVF170F9sLQZjSeqFDfWjsn+Hv5lifBHXOCp95isQOq3mYM41dbvc1AjZC6
NScv460RzPhGYxAervOyGu6LxjKWDfpmMHPcFQ5ynqTN24gr/q331i+uUf9wke6TGqmush/BtguD
WkuS+GEQttOm5B6zWRarMPaQUAb6WN+HDhp0m8k7Eigp5Z3ml2Pgx8GgTLKGw8PytbKsn8A3+Vgg
sjHV5JRYuDQ8cXJEJMmFXYfBvlYEbm3rAoyUiwIpV3K+MmMoAm6HtyCoMHAkc3qbZLy3ONaWzIei
itSSULjoG135BVHLLsk4BBr8ljruTJy7AbHF5LkijWyOXq68cBrsLFLnhVsylHE8HU1TBTsdEPfV
5rl+aqbu5PvzT2ywEQfth57+0j53A1KsvfmRgyRBUOKE4ZVeE6TGosc0sPT+t1V4301vyohkoHRK
00bv3fqe/NCJPRrxyZRzcjeTkaKzRTdRsM2kHgKbz0NeSYI3Lh5KOtydqZG9q2JBLA9LAK99tpEY
cl4DZz/i4bBZ+H67i2XzxZqcAJwqHb0lwY0BNq092zbJdMiB5ZOujmb1oSf5XgfOo0EQyk7I7gcQ
d+RoitNO8GKomefL4TOUEg2USEC+UxitdKZJEdY4NHdOvtBT3g62g3MS8X8Q9h7LcaNb1OW7/HNE
wJspgEwgLTPJTLoJghRJeO/x9L2g7uj/Xt0K1UTBklRKg8+es/fa+BklplWmSER25lcz63iECQvk
FGHIA7WKSYBjiSEZN5K4H5u6p4BK7IQ74+hbDyx1TYlIQnJx0IRri/APUKVxgbBYHkc6Dldd3A2K
+JyPUrxtG1LVtCl+Sfoa+4K05jyiFxVKMTqU9OpssdHvWj2qfqZeKAvEHpRl+P6cXbDHwW6sZL/J
08fBGOozyaM7JGpQoNow8VRE++YinNJSuUXz9NUKNb0hiv4HDnvNASS6I0y55RYCLZiA2zwQBHYT
rEt2HfIg5EBnpeI7M43SogCIFVa750Ic7hRVC33hpW7cGbIGghmTxFDqV/V6Tv29F4YC/0AiP6IA
YDeY9HOosWWbfXpWBArA2BWFTaYRIW8G7m9BtFAZN2gy+BlwFPEQrW0cYFNdJtqIIg/v90KPYgEX
Iskj3Woux570+XvoCmQmq2cx00Sgj+sJNKLsNwo/maRyEFKso5ibF1EqOjjAwzleQqgBLfLNMeht
vRre1ck4m4NIQWGd59xXfpSG5y4nn01MsH1WVz99GG1QHaI8agnbTaoSMtMceb9Hw5BZN2t9j+V6
3KoJ5OlMShd1uZ6IqCPWSVkSEblSmmYKoZ3l6BXtXoQbPhK8lV/HbhYlVesmyrLtJVNH3q7Jezmx
PpCdCfs4UDcVaBfiwDkBJAZxg6LUrwsRMrZApd6RDcG1V58UCot7o8QEVGYblp9uE2ewZqkOR45o
bizSFxkaGO4pVnJlF36SYZz3EuhHtygWVzcM5qCSL5xPeJMy9w15IRutw2Bs1VyfuHtxchSFjTmJ
P+S0of+JLGM/GHup07+WNrL2ShuKNqoApMxGN51//9S3MGEYqBIN/SneWgGQU3hgpZNxFIhFtogu
HEZfVVQyYjgdO5WCJBWo+13r0nQnpb5Bmo3AnE26HA8mUli7mOZyP0PcdELpRcZTTL8y20uDwEyO
KFPIlig9VKIS7kroOVBzyZtBRusF7I9+I0wXcEWoG608fujE7DtT2WUmvekpKZiuHsjZa50oXiNa
npIR4ZZG03UhLH0bxJeIysw2XJKvQjRok+KHQGijuCrZ9NqAh1Hm7TtV/j6j+aaUnXFqRNBMvsHS
W7agd/CGLRHH7DJgZIvrlyKFg2BymRL2IoheN5KS15l3zpyEFqo13O2qkDxAAhhiNu1jqVFZkGtl
Dc5AOG2U+q+RBrwmZ8zZKiYn0Ay3BTm1b0ZZX8Z1Q1u0B6VqRDY8rC2RgpKeNhhJivH803fDIemw
j6OLuAzcI2wtbt/QxnmU/r+CKj4J2CHcTBEpvUV4EXKLvkYcLtwOw+Al7ATh3Ri2htK53IBuJFP1
9mS03xZ9eVcA4qRS7606g7w6hVKLivFqO9NadVWcONvO0N7lWIZCkpYLb4rrfkHpXIrrY1WQdDXn
Q7urqxQ5ci2Dg8VpTUz9tlRoYEnB8IEVGihRTynWImKXuta9mKtyN8ayI3NidSYFswg094ZDorgP
Vi8QhbGzAXTAxyA5e5xu1ir4NBzVSo02/bgp4LneZa5n1UAapxBEN0ltApeNDw9wMasEwai7sinO
dMf3gS6G1NYSax8W5gkURXcgwuojA7BqE1CEb4DRCDKEs1yQhsumNIbGywWan2qRHpV0/pFpiLj9
MC97mdqSp6bFaxHR7LTkieIQXf5tNG3xwY4HubYAZoMH0rWO05Ese1MiMPgWXHOJXmZ0bIniSoRe
RG0SJwyaVTshQdUwKJTOxfhUodvFlcQWysHGcshp3pnEpTwa6ibqa93rS+syQl7ACj9xCTd1vxCU
dNsl4ErUUdqDKwFAkcqbYgkopnAfCmvN3EqZ8VAZxOccEitq979/wT/Z7hWpiCBxFMv//6MsMsCk
Vu1E6sOqvq0LjEO//1f6h/zR779bd82ivP7+F2LxlgQo4BErcLMALtOpCBAbniP1eP7ZJO/irZIE
dzHE1r0Upxsxcc1DNipYG4tQ8bjZwCMfZAsFymJdLWaAo1QSwOOosnzJwvBfhM6UhA9W1Agfj/pS
NsTGW8F5NhgshfxZdMZ3egUkK+3ijnRVeE8PVTse0shaLnyGeC9WMBwTbWOYcW9X4mA9gG+pHMsM
N3Mox9cCmMom66MUAcy3prGO5aJqIGxL6e/zek8SG/piCk8BQZdpZhElqu4wiZXbpKre0ijtqCSM
b0kuOTm52idRjwZvJI8NdQCZwJmlnMKGHKsZ35anxAucEuJg6esXDtHD6SHPJ48ciNDNq9VMmWvD
qS5hh8XVRHwodz2ZI1OeFNvYUg6gDVJO1uljDop5i0XjPskIM1br+qqHZW1GSivl/UtXBkc9rZ7m
lIBcSe4uepOSxqmPaE7a5kBNisSjZViD6gZtL5AUwJUqVXcKuj9HE6f1hgUmCQx1apQ/lBY5pGvZ
i1XmLm7zLZgbvPPw0MKeSmltl1JyEPN1pqvI8yxlih8LBRAnvg5CJ1LiQ4Ds7Oni72qR7vIoQ78H
iUvDPnSTPKflLupI+mZ2YQsp2BiTawcID7P1wgkqbLuzIspECS9Ws5bRLK+lrUb1QevvqHRwIy3z
NorlakcBMH6IRMsfM6fjRrovhfl7xsL6gqDCNgsJTFI47YoW7Ucc0W2G+zQ5ZCzzXoZu2OiW3G/T
gsGOWsuuM7j6fRvR+qrScKMHMMoAzY9uWhHXFinGtorMx6rCaInfmF1jpjUNkqfEfaQlB3XSSNNq
9P0s6+QCteOPnJDhXIK9sujdGUv5kyjwQcf5Vx/VyIpi9agZmKE6CXOgSDFSUuq1svSCLI/gNPLA
GcTaGXQHZqkma/wuWtQn/WIKcX/tV92yDA4iF6FAKuJSYHQPdAz7o7Ercp0Gdp5vMrpb+wY9KlNl
ME6BpY6eZmQUzbiQ+02Xm4eEctEuagXYGkNg7WrII4iy+RgM/3wXWrpyKMWy5Q5iyUeduBqPlHLl
BLbH3KbKQJZvQIcd919bq8EZPZSMozsRL4ZEKEpRK4W/0O1B4YKtvivb8FGiDulqkjY8UoHFiSVo
wqMymu4gcJw3w3x66lRa643QxbdahTslNLV46y0oOqFq5HckO41TGyUH4EinyUmjfCcFXKhUZpij
F0HzPHKNcfIkbZ4xCzLCAaY9hwFn00nsi+eupolUTXr2LJm4nfORvrAIAw9bdps8t+s/Ks9N9Ewt
FNGclIbPwUx/qVujwqcCEUGWWOadhYmCPE6gO/Kq0pEQrV+C1NrEcylT4UYeRbAme936n0m0yGct
KMXNFL/2q1OuGumtB5ZAa7EWLlGiabtYb0fywNThjK1gPI9FpRzJu8dtye939dhtKosIbTkztFMr
gS5LDF/qdfMZnt+9w2vHgv2ZTSOuh3RtLwhSusnN8C1ZOnJYIihIatgaLo4PiW8pmcgejZtN2+fU
1gcehDCVkovW7Rf9SvI6SfumTI2Tti7pjTaiNJ9kziUURlJlk3b5B9n2R1GUykuiJ6sR8TwSeeZl
dWpcFt6xkOiErCZ7jOvZYw5bau0AgycKLNazoUAXxfvHKGEc0lEO2IjoCKoVSgm10FbBDnCGMsI8
DgOJMGIdXYAxAG4Y6J6MgblHtKO4RYPVOUwOXVMuHnl6dGu09NLEsd83Y7KHDg1xY2GRHwb6yZOS
HYPSHB1IckGNVZXCPic7jlNsAt075tnFp8nWbvK5+TKDhIJbepbXVTvMwMvpeU82FU4QoSLRLw7W
ey1dEmdEDsriziJSDC3BqWwNelTT9dO9JUSIhRCsQiAARMiMFGuDinLFpLQc2LNBZFSZy1HRdP2U
cNjk0mRtTWXuMd6Mql1QAn4wyuRI5+vQQq6DT2yW28qMZfAIzeQz/DTe2IMwTDUi1mULYpLiuUH+
KumbSEGMhVNaFml+r+vc6afCFWfOIaTGcnNIaCyqyR1DR30J54nISYpiLNuLp6wYF65Cchg/L8uw
PIaUEY5GjbalAJN0Iq0kcgDjOr0lWnskcQ4BpSq9/4ylJGzAH9aGO0/UBPiQyy6LuuViLPjnquVk
4lYmU1TfzmOvHrMYqmdhGOZeHciz6eMIEpA4e0OIbRHS6gNdQYSqivIiJNX3nDX3CCEzI2t+0Cua
5ZMmKSTjsOJG7TDYLauWD2yBoiWh4GXfJEcxaCkKJDM+bmt8QGgxGSzHlqjne/b+YDPrUNnENeNh
oj8yi9bskES4piOr44FYLcWTjYdO7UtyA2jY9JWc74VowKMa9ccJednOnAdopWZZHzmZncMF33XP
eKO1jm9UjMob1zp8Zrl+aCZr2neTSmhjM7RepfYb2rH9duVD7jVDaDYkS0GdC9/g5SB7p2TszX19
maecraGRVJ899FWWuQZFirkWf/zGgFQiCyLu+iwBpmdmXpBi0LQCxFWdHu57M2fzrJprq3ADHjgQ
uHkPiEwoIsVdpolebCACgelmBuNwNIxuSyhxc5ha/eH3xZFv0m5yHR5NvfhGloeUC1AQDJqHJlW/
CnojY3jUsk3P59lmsnHSDOS4WYEXJRW5R9eijDJcCM9LLhOBgcUW5uGcb/DpU9YJLKqEiPGwQ6Eb
h4TxTBRftk+XYqeLsn4ggOY4J1rnq0ly0Uqs9EUW6o5Sq+StxSN3oS7MpENY9tJhGegPVuvm//v3
fv+CQ0YCM2ohS9OamWJ13mpurhuK3+itv+IhDsjYTMHRm2SrBnW+U6ZZhPjHH/z+SYZZ4haWtlbE
cZ2ZWCm36nXoPE12ltBFqaDv48VGJWpeSaRE7n6DEbuLXelSvJrvwy+LiDxS218kYQsUlcJu7qrP
XBdUXOi2pG7Gqzmfgg981t14BclnoSUUsC9ywgD+to0sW3oLh23lJb7oZx5hbr/4jYfySed/RUZP
siAsyfxZvgKsWd6MBA63g8hOuxQWHCm7uRtHkJIngbxj/xlLVZlQ5LaXh5wkwxstQvHT2LFLKY7y
lH7qBsQRd6ls0SOTGZ/oV3WDsW3hA60Iy3X1a/is5n6LUak6sSAAylPYR2hlFgep3cyZDdG1D6F+
2D3Zx1QTbcrWDDPL9GJ80+RlJscg85DCyI/1ZynavZ9nJ9O4CcIvPjrivK1yTwE3pBtqTONXvUNY
0tGK/OhwMhOq51aNU+0rr05v+ROnbrXY4X8SkSuydlzxkPS74jl5Ft6RElBKwvawIbBJ2yjP6mcm
H2TRViZnib67k3K39glD1e9ztMd+SDPRHg71EX0b7tLkffjIB1u5Rq554cPNjvpr8saXiiy11+jW
P5PHozhIbU8QECqohk/sakiIPG6cpKno9nBWDbtymgwVhl3cxdJFTSLcEsGeEpuE+qHDaH9eHkiC
TY7knEVoKHEkjOBunBH22H55Gn3sL+WWZo+QbOhuHUio5dnM++KYP0sP2q0YHVW/9rKfofA9qVBr
Mc/vJ/oQT+LVuMmzKzNwhJ3IuK7dV9x1kr1QG04c4ZgfzBOFYy6St2SXTesICLlxzH74QsNu2Bbf
zal+E67TPkOh7+W7ZaMe7ggnN9Ep58O8rIwNiAGO9KvlyPuB7/wsnqWviXK/rQFrdNOHhj3uHTvE
CwtwruxKQC4xFn4PJUbHpnq2dhHi69YxdnNui8ouuZui03OTnfYGRWamqtvfQI+cuYejJQDaIO6j
52zVVbs8kZYWS+O2R9lO9uHTdBe85Kx58c64N8VFi3fgb4LQfZGu8iXYcTYF5FO8wPxIv5tD7rAM
Aktea6vbUGXfsdu31i1fwRJTBnzpt6orPMZkmaJjszsfvhJqkug8fWT75mRcKu9jipz2qHjVBlVu
7Zru9JK+Ywh5Mq5oXMpXlag7F6eKmhLbuIlMp/tJfggOQDzRwnTbKGcRTJMvHSj6jO8sZconfb5V
UI8C3KP6TcCXclb4YlBq+sWT9QkxsX4v74JDy6Ty1Ft3MGGTYG39bN/FdEOj1doIp3on9g4qUMuZ
HPO13plPUuQQvmqTSev1D/nT6uhBirvYop8+ZaMv3KgVJR2PlHKQeFO38q/2NfkIaFNtDE+7Lobd
vFSZaz5xT1x+pMzuMj8/ik/K1bpGyY4yWLBbKCCf+Ya4rON+J5TsEzNz53HcKDa0ifR9tC8f9Ndx
a7wHx+YQeoVf/UATBJ72Wa+dJtvKDwbdE/5xu1Jt0huD0qdPd+iNx+yaUevCq2xnd+r2r6LipA+J
6mocmnDa+ABRECMjrRt/QvGkotft2RJtAyS3Pc8YYM4j0hrFgTzS3PAs1Ow1DBoZOZiN8RLpo8bZ
M7cDZcc3b1fP0Ydg4DVy2l/cWKdNBwugsGnGZna0aX3pEqE+BsXj6of+GDc8bAZTAaKXrWnVPtjm
Q3UV4aSUbsCWFR+E0QPchgAaeZ2+affBHTKXOjti84ggclouwpNM3/ExuaPnFigF21nutepGOs0+
xjvVp2faOay6v8KzeaoSF+DopjsKT9PFOi4PAk1UTgwnoCXaKfgGT5ochS23RHwYyo0dUeLs9qrd
jIvxFj6xJbwZO+VLOLY+8y/hUk/BIMeP5kR+84xneLJjlKKO+GBtMDM40Zv+Ex6QiYc0X235TaLQ
P9p0JAZ6pL50xnEdezRyrX0bolNwEACLxAdaG/Opyd3mB7QX1It3kUf6KO2kh7r/SI75C/QAqnZg
puPR7hxubchkSpf/KLuHjKUMoHfNeiiOnkrMsBvu8nmbQIx5FgjTczUw1J16mngvq23EDTWXmYXj
3HT7t3zXVj4tJTQVuP9hQJ1owaKyhiSJWIYGiL9cI6Dhsl1sQrcDGrAxkGZfFWzW2+7ZOkmiVx0w
QWqGXXvTUfcspon0ILymm87n6C5f4u/wlJSu+SUOO5019QLICu1C7xq5h06YQ5D6q/C7Az3OnI9Y
34HjweyVC2c6IPONNuW5eLNeOaNLx1qAAeTQBhQ+qPMjxw2+gMuPNomHqt3Ak+Wa0n1aIjo9BMan
JmBZcIWr/hQOV33aL4fMBXjmhBiAvPoU2sNn8SLf5tecNsonpZ9obx6KM6yP9i16ruZN+4spJ+GT
PyifwiPf7lbaBxEpYlABH/giltqJWze+pZFvWddktHtpJ9NGw2wt8JSY07byIsZ73dxMO40UYHvw
JW9BpPHa+R3KXdOuIlv/gmeSkkro6HAUoUSchp9O9ANqXzK1IK94bhEMOsNdeFv4pofNyGXswTzE
Cv2mTTE/ZgfiYAPf4u5v18fIVz9V69o/IEyECerM2/ZXsFMEx4q3/WOiQczbtncBB0Zuw5FCoprz
5R0wKM4b0IVh5Y8PWn/UI/KFHflo/JSMbTDlmm2c6Mlr157tXniaOW/EDiHC1xGZ/GeB5nIj4PS4
CNsQSQ3KWgNlsq2WGyZm4QGS8NcQxOWBEdZe8monFW4kOjSskD/0hwxsDlYkUOCP/H1DwNztUH2a
H6fhYKTbVVuZ2qxV9JFI61SKrantubOTIsZJISnvunrqOrc1b1wkBUgeoV19N4+d9dQlPikx2nuS
76QrCxTyJzm+UxQsHtuH+KHAUwm5aBM+9S9p7ZFqyoyhXWOHrrEzObhUv0TDidj0n7WHCZjzvOVW
jDJABwd2rlPYpODMbFRI8Tn8MN/lE4tE9p1ch3fYY5E/bJT38ljvon1/6N7UxyrzZjrCaEqfIHGA
1bLxQEWLH+VutamB1bx3uQfVYcgPoKPn4qEwXCyAkWMGD+HyVH5V71WEc8Pm6hebHM2/Q6J6+DQ/
eLty9Rtv2fyKd3F1xuuAQ9DOY2F0ODN2W+OhIYhgT5n0VsDaOLRPdDuDF0Gwl9PyUx71p/IVYAtB
j7eQ49e+eMaD6iidM+HNI2MZyiq+JzfRnZrJylNisF1ryWlQoDjZnXNcV3wQVk54QXGaqOu98D4x
h2IeYPvap+i6gcU/0nELqhdtuAqX/AmnzKTaHMfpXidIRT8Rey7fbGw1xohDyFHCNoOD+IJu5anl
1rEXFPw7dnA2/RbBNHXFxdGu2gkdffI8bwPOqJ8MfGE/ZHvOrRh+XArmxXtcu803UGcw6RsMIyif
ZwT5zwVL9T7wObe4+TU9KI2rbaH6b81dfDKPwLw4j4AJN07RAyeH8J05kx2Gcl9hgVG9TrSrJ33Z
V8l29dsCnjE3jXULsMYw2rS9djZyezpQV6dOofoBDr5qSwooHc/qifZv+C6xYHGiSlyMJcUhNb3s
OZAALH29Ce/V9C6W1wGg9ytVZ/DTwZYTVOwhUUBIzfFsam6TWnvmY19tgpBjfUewC2cf0ba+eBjs
qinHeC40O9kGynyb7mZsD++W4TZ7NbKpsn/Nmq3dMLTQnZRUd7k0tPy29Yvo8xiDxwBJ0ch+d4g4
+MlbCsEmpKo7E7REOb5V9/k19BDZmqyf+2yXHcuPwbTDQ3YLzxVXKIuzUo9g55tCwKP6SX+GiygH
VnODTcY6oliGrIVYfE/iyiNvW7qI7+JVuVHM4GVxR3FHeMPrM6BIRs5+KF0ernDI3qndcVHIvlvg
zDqIQ7u9hV+sxsALUVR1Z/MFw+5n8tP4oHvMHVTYX6AoMWsG3Pk4I9skpEF3dKjrVcdxn7cOjOhN
9JUn9LC4D/nkVjGPmn2yYY9ivPSvlArYr/tXSh9dDWrP4dLghg/qo/CWb8Vf0IVhoLdM1UvKeojw
k6+8+0ioL/1qfti1xtol+rEk9GMHBp3Myl/BoX0Jm0OCmHcHa8k19jk2t8itCQ81d+K2frN0ViJm
KF/2DxJ6QbOtPT4QQtslN5i2MCyvzbW7I+Z8MWeXZACqvsx0rmXpdj5GH5yqkx9WPylzSdzNPmcK
fKH9PQDIZVdQN+iz2eW7l/4aKcfsi4yEbfoYfwRe7luBC+HKOhhnCX/hF70FRBfW8gwOutwYClJ4
W30XjqIPclPZWLNNUvNo6wdaJ250YlhN7SbZtXsCUaSL9LQuNqtIjDucsZMu1XqJhdlYeNTzwvN8
l15fa4m2vEvZh6YtnnM2xvod1D8pBVv1zMDhIUVX+RB9Y381H7PSjn+S2/CLTUB4krbFW3Gbc69k
n7gG3rQznlijmBTGF123o3Kc9+Q7G28p6AaQVk/8Y9NbF7r9slPJfVY4pTnRjhNx8I1yfOXaF07y
Dfgt52Skopy0oxP2KvGRVT60AWxTi8QDcyvP5QdydOu41jcFuj6b4DF8iphPdvCSfTOGh1eO0PMe
PaZ4jR9YjmSWHCxnNu2u9qV90d7aF5bH6FE8YCS41NvxhbureiqO0tY47NKruDFeG2ZbjaC03LJ4
slhqb5yt78P76NONeanuK63IndGR7geO0tv5lQt7ENvtsUInWbvtVqTlR7Pv2dozmj6bay1QlnFS
RGGFO97M13k6WO5wDkBsvSTtVsg9TYR/y93SRtXvG2eyWbj6rQ4fLnEjNkabbC4m0HSux0P1E2w1
2V/ULRTrqd+KtR96/EXweof5XD2wCqI5tPYzb7bxmkdtP3l8A+DkNy0NwTse48hOqQcBCdfwAu1i
NkqaW+f1+IyX8LPgWBZtIBB/AdVKAZdx8xRYyFfhgl35xqn6aF+xU8hcPKWrcIf7HmrdwFTqVc9A
BD0Cvd4LtGb2v39KJ33AgVpZbruIiWs0TGnE+xia3sM04OEp6bhQaIgB2OGVJTb4EP/+/RQRFpEq
NUPFSg+tNJgbuEgogFIudnGCYUpZslchU9qt0Wl8br0VoPZqBT+GZrrHcUjHL8FdEnP2QqWMQnTs
L6mY1F5W8H6iasDqPDMZxvWXBNmN09PZwOO9KMjg2qMqTRyXpvL/+2Uym1OvVrqX6lG2n+A+qd0K
yMsaEFLWt/VdttZwtITeJHOhLCnCok/Y5JXATeX3L/pyzwwh9GguUMREYFxtOkBkdhaZL4gsGx9U
KZO9rrEgUnhW8Z6i5KBEOy9fopbchPQSUrEYK7KJyF/B+tycR1X+klOxtYuVS6Wb14DPu49r2n81
eYLlitAMBO7fFu7uOpy/lSo4BV0gc4QNe8xjr4kut0wVEf8xD6JXZR+9cg7FeWF7hDFLJIe3YLWg
MkPjLKie1fZlVlGvrj/H5lSjFmm/hCS5WVn11EztYycsKWuk6pQTWVJ6RQl1fpkrQfE6VfSprG+l
2bikc+hXgnxWuHhaQ/BYSOqTEXA5MmQoePrMjaVRiIwIrgHNnc3Ymc9Vv2jbNEQNFEzLfVzkBx4H
B5iSoF30f18meGrbGHq3Eadfpkx2hBVEOPoiP1CaY1tM7a7HZcU6A+yxMTi6GpM/inN0bgRMJ5gx
Zg98mzeIYezE6trFbI2TmVnTYSg4ZFoDxUCogbSBFtWzLPnXTNF4Y8pGYMeIM9xQCvCPviy99qOC
d0UkwqxLCerQMo4LsFRBLYKlriNuw9Cs/8//Rfz8E7lmDU37L6ALEFrAe2tgqCXxon8AXfQpk4tB
MBt/VOFDlBaYgoH9Qg5i4iU6O89rryGAvFKgvFbNfP/7y/8v32V9dUtSRFOnQ6T+wXcxJm3qtBKe
tZiOP6AjXbENKR0kVDGEVaAUNDrVLhGv9N9fV/rvAElNhdOPmEoxLFOjuaXK6xv7D46N2OrVJE9S
Q6clD+wGp1ije7ExXmYdL/wioqbPmxM2vJNuoeeknczNtlR2qjXu/+WtrJ/xzycgycSFqqpl8Y7+
eAJSqokz8tDGD0SwCEktgIUQvqPSRBX5ED2EFf3JFQjD8J3ong13jZRex+IkPITzvwwH4x/eiyyh
RVVMVZOtP9+LFgeSLJQxvfJ6JZAnbPArViCbq48IL1ogmOq/PAnlnwagjMXDwGIi6qr+x5NI6dgt
FQkavl5Q7jPG/G4oGjpJTlr90iHe5Os3pO69qgKAMQVRQI5aTxztkQPgMsnIRQgSJMaJLWKlJTyG
s76q8T8FKaDxDsdV0zybaEDg50FozHm8FVnLSCsp6xYfiMM2UC+vf3+o//RMZUUxsMiSpCOLf4zr
OVQrdqWw9c2cjVAHD2MDX/+XyfN7kP45chSZuaOJ8LcMQ/7vQTzhdJ47S278odFusGmuQ24cRoPi
d8eMqSjBGmNxXaoBHIPFD6O5mxINYCtfBFLCqx4xorK2uozHQDWPPHuvMtVvq1uZJdV7VjenZQag
UUGuFNvgIvbRT9nkzfbvX5b8P/QsJqMi65oMKVCyJPWPYEdLUycplBWuAxZH09AooRXoaJxotcw5
zxQyae7nhrKboD2Ja1nZ3BLE9xxKIwLHFMKIPn2Hlvxtps29XZkLSgitYBnDS5Cbzb/MkX9cOxSV
xt3KHJP133/+H2uH0lp6acS8XUaW00tQbTBcOURkp0iZhntKS3319L9P2iFRqF2GCOCoydjgcLt/
ey//NHsI3TRFFUU9wtA/hkCIsEQSzLnxU43uiVGn5AlBG5kjakK1XHuhxnzqyIrSQ9oYY5R//f3Z
/eP0VSxNJmxBYw0X/3x2+E3+3zE4IShyG0mmyDzEiETnOzjMhKib0m7XmYcvKwUIsj6cQX5KTOpK
K05mwiaHjX36DlYgyoLY3+kS6bszUgqu4anKKtg9Gbdsq8PeP9+GKPiEE3HARknBNBn2K2WpWzFU
f/9g0j9/s6ZusBvLqvk/6xIaVAaQ2PhteYDFSm1ewRWIam07gZrpErTEi2TtMgrnCeSXv7/6P+2L
jLCVeCYC3FP+2BPUCSi7mrMnzCunR6A0MWJwY9ImnhQa90QrKJCM3b985n9atVQRYhJBq4BujD9w
cunUF8OcjY2/TDxLBDfvulm+//2T/dtr/PHJYq2T8YkyYBH5nRa98VQz/5fF9x/HJJNBUizmBU3u
P8eklcBqkTsmRS0By6YFMLOKWBMDTCuL6/QbE6TGG63uT/hlrpiaaMajH86yYwaAOG6G0yDiDzVl
yR3JaPFUg4pBNEfvMSltXYsCeFAYyb0w36OKvXlegVGh8VjFwecKHDMDVBp//+KkdSr/92pPoLtm
KiZrj4Vk/489RdWqXhGABfkh4nS7Yxu31SzfyIignCRnmhltdsfdTcsB3E0o1HRNKo6+lVW4f38r
/x1zvh6eeCfkRHBY1WTJ+HPRqXVDNOdKqclj/xFCmu2RTP3a6CT6uATgNF1wUABWRMrh76/7v6cT
VJMmwjpDN0lX//0N/cfCa4VStzRpVvvLErmGzJxs+bKdshrwo7HoNsG/nYfWEf/Hd87nMzXiiyVN
Uf88HVttHC/zbOIOU034ESizOcq+Vk3y/PdP9o+vo8qixANmNVfXT/4fn0znDqdYjVH6JrWbJZA9
YcTMQI7x31/G/N9jryIZ//E6fxy2BCXTA4QjRF8QYyFYhJPgbNu0ui1MyALIIaSv+JjF5a5sk4l1
u3pTk51RJzc+PrWGYSVAW6vmSsk3CnosSYlEgn4UascR6YNxMZv8GeSDEQVbrQK46UNqRqo1Yb8n
PcqDHypsJk1E0Qvdp7dMRBVB+BTm+MDkgGt+ouy0ug23y7At8yg/jmuOoDSQJmCFKgL4sgP+vBDM
Mwm7kQslnskReSS9/Kr/RRIR8oI0CrkQ4xcDKPJBQiHXU1pt4dShVzPfJAOlBNjHCnPT2LnlDhmS
dMPHSN5X9EYUFTlcPXQdbVL/H9LOq7ltbc22f+XUfse5yMDq6n2qmpkURSXakv2CkiwZOS1k/Po7
wL3PtU2zpe66VbaKCkwgsML3zTnmnV8E31WYeIvYo4PtkEYwT0fi5KRlPakrPRpv2TSXa48Kay5o
gLdEa8+jGPGA2wefw3E8+uHN+x+hdmFiYkHpWFyCKsow63y1lCSjQrRwk2+iFCCAHnQPbZLdGZ3+
4ErxQjWinalDfIed51Gk0W0lSF9SrQ6r/z4Prd2QmQ+Y158srVxqQfFpVJKvmm0kzNS1nOWJvh6H
gMJOSbCV6n+WLdD7MfCaOabENbE7r5J4PNuJ77C10aUyyVMk8WemAAQ1xEvSdQ9WLQhUbB70mJJr
S0RZBFdcScVBlgEBYMG8NrlDlIRzo2/ICcHLGd2lurnHS3Kn1+0DljlfvkZDtjUM7XXwNUIQnAM8
GLJ8yf1qMm1d9LQeQw6759HFItqWUtOylCPiCjwL8+l16mYXLyqneQhs7fV0v9beV3l1h/p2UbUQ
KnTkfHUidr3hbSzago1Un6uo3Xg9Y5pmPhl6tsVnsUtCQP+Bfutb5o0fw4YI5CdlzK9xu8DcCYJP
QRd/kUEx7usAJo/nK/d1VhGD6bwSGUk135WPOXbE27gVeLeyW6xx+T17UM4pD8PVB2fIhYlCF9BS
KT5ZqDKds8HES6GW6pL8GwmGLPflQFKQDwtBUIdMpbUKU/EaImBHkiGRs6h87HHV0wT1jG7zwWuZ
pvOzAdTQHRPchIDlIc63KFRZ2rYrUoLAKJyVaOIUJZyMaiTVopdrbK0lrC9X50rRPfdO/U3L1YdK
oqwhC4vQsLagm+gq/rar+w8mMe33XYfBDk21bV1zoWKej+3SH1olaOyMoF+HerBSuEhlabwgLvev
vF5+8dIROqGjJ5vKgbMVKN22aVTvg0ltgiOfHyL4tsxnrmvx/3yvWA+x23lDA17W/QQRIF3j/0uV
5Ykbgqlj1kf9QFwC4kQj38qJplFPnnOzFciKkwhHo/3NSq8S7ASU5ftbeH/jde4pyJ8wlugE4OoC
5awnyVS3lVtg67yXsCYgN4etRWjzymvsGZaN5H+/OTHYHxkgGSxqG7p+tg6riNpIYjxVEFqbQ60L
Wu/yGQbVrE3kseyyY9IMSH+MEVhM/vz+mff7CtqcZlPNAQntCMs6W2fGbYG7SYuwo7i0m/ArLfph
OFKtW5Egte/09H5UEA+9/6QXzilW7eCuHYeFkaHaZ++4qPK88dsm2eQxkk+0hEVcPY92A/QjurE8
dNIZHrn+OY2cO1TUr+8//WkJ+OvVZqoGb1snycO2rfOFmR8mBWkFZbIZrdqkt9hydtgEsWCQorR6
EyX2XYs5gPa2RU9aAW3RUZ0oW3PWq+6jbIxjM/3aDeObocLLX/QuFZP8eRjujeYajN8uyrHoO/Kj
T+v3YYIXzqaDRbtl8fKnIe2n9U9pUbe2m5QXjuk+MHADj+5rhAkfBOUHu4NLJ4ZB0c/mMLESss6e
KkAq7Lm1iDdxDNfAweHhO+vUaq4h849YxthR1uLx/Q/m9wUzbw9iugHkfBpszpddZgFYU3FjlEA8
vCie80E7gmRYqIX26XTIYy9dmrrzwfn4+7LSVNmSG6fFOk98dhFYFUWM2nPijdI0uyFpN6YZ34S2
un//7WmXjilRhbC3XciC+nkZl2UXYWU89sbPrDub8FfIjMZUcGOqzL+UirGPTX0VqRYRohFYLEZZ
aeC0aoZtiCgQSJUFB46oD8X76My6sFziGGgq63dXV212hL+eWr2i91kUYfuV+IDGMHgwrJ4xwNuT
+HjVtF80cnNndgQjSvvoVLOmmfb8epyGPscCEsZMc/bcTCC1gHIUb4QFXMLE6EcFBNaC6uSM63m3
rWG6EctJGWsikWSEbPIOUBWn/k2ACX7Wtd44Bz54fQLeuhpGQJeL2tDwHvdpDLGGmYDUJS57Cmaa
Lhc44xCFFE228qrsPjExkfcTQeYEHauJIKOHAwcKgMzkaDueWAZK6S6tDnjR6c8B4gnYSUCfMJFT
agUH13Vf68raySn3YczVyRTvrwKXbCvYxyA5whfqeijfeuB+xPxuAHGJua6VzwCeV8W0DfjghJsu
0t8OrCum0ozmCgJSfv1QR5JCk8BkoBs65asXoZcLrKU97FKJGo3ou7lHzEueQSLBNPWKO2dpFNXt
+y/i4sVF5ADtC6HD/z8bSFKzZPFAOu8GTyeSKt62GmtH16k/2LRdqDdyBgubfS+Duk2t79c3i9vN
yIoyI/7GoOmENtFtQHYwTldlu2MJdYR5gB6cz6Y2rLug0ffSa/edO370Qn5fqUwVeo02kUvxk6P/
6wsZIxUbMWjWjVbBvWj4sujluvKf43R4siYrZ1UlL7K0DpMRPnVf/vcHnKNgMqGbrqqeV+S4DOw2
DhjNhth7nY63RF+WSu+DwVr/fZNMEYyRkT4D5Xv9/Krtq5iwuJwRw45pMQg4/7OkSFBnOXfxoEF5
YMyKjHoTtraYdTVnOeT5WYvGRJdQxGMMD+wcNqNgyTu170JTPKYwc3SPsIEeeWClIXD6eBi+NNqQ
zmCywxcXyjKuLV0Qfm2MsrPZKV29U4rimUM5z3R9P6gfjvoXj5NuwLoDe+H+1rlJOEiOTfVrM/Q3
itaARI6L54ayKUhIF2VNEr40yYsJ+KVTwFV1rEhtYl0yBDDvnxjOdAWcDwd8UDR5Tc0gnORsnhON
DuDJL+MNJmNcOoD+XcAPECiJnoxDtF+YpPK6ug1YTbAkuBNutVbdL45rHlO0Nflb72NdCdN2U7Fc
ipggQU0HRDnwpRWEEXa9dW0J73qo9aPbU8woOBlUo3g26/izMOqHtMifRa/uC0D1swrlpCm/SNci
hVdBXct6iVI1JUhxHLXy3oDWVIhwAg+/hTnN9sBNjWWu23s8xvct0UmzwpFXQWOAt1BXdPgXnuMA
PLUfs5BtLqe9iuK0V8Fa6vuA02EWWyGsna+n246dLk9HuSBXDM7iS6R+NKuaFz97hwor4x/evvOl
vfSqqaSQMrOVxMoCW3LjdtfR5FxMF4TsOvRBwbCxtIYsyOjF5khHQjtGMnuOfPmtCSry4MyjErLK
rDsG7FKWD7A4bkdTdixLxTyWwbfoRRMgR5oAUYI93OLw2uSwyOKJM+UkNspoxX5tObncwqrmLSmp
6TQWGw6/UiHgg5cqcOu0OAly/76u6Gc5ygfTwKUFhqaabCMxeItpG/frqJg4TR+FAEQ2Sq3NtD67
93tvRzyl5pefcjk8qwVaHS+5E/nwwR5HvzAFaQyG06KZZq1xvt7XNa5qYgzzzehpr+DanoD9f3a0
YFmK7CEqvjaasTE2w5s9GcsshDvBk5o7+9wznt22fiADl8JYQdevmCpV66pHQKF72Yp6D5YqUT8E
Mtm+f61eGl2paWk2633WY79tu1toq730c9LiIhRtTrYtG+o7afcgYzICi3inds7KCHBoodIcMl4c
OpJZpzYPSY06wgmwzgQ3xOF9i3rzKXXVVxJDy8j9pKXDc1ypH+ypLn68mkZbkl4Me7rz2ddURBRK
tyK3zqIGZXcS0dBnvy6uVDW881lsZUm/HCJ/Pbhk3r1/sC4trHnuqfKsa5ZgrP713GLI6+rKJKpY
ITxlrnM2a72556pZW/nCUqIHnPW7YFRfi0R9pU69gti2zjrvYOnNA9b8WVy7yJiBTxtqdv3Bi7uw
HODFsZ0hqpbGrXY26qaeNAHO80mOdf4Ebmw1jNZTZDFc+oEzY3+6VzNqS75lHWyfkO/e//zBK7iw
r+KTUYXh2myw3PNlYOGYYZ1mVJfKoX2YPp/OFhu/AmJeP5mifVDV+HOe2vs+dg8hfjJ0HnlkPEXV
+ErG952SmU8ZkH3FxDXraB9cnRemY81AVSMMkznpt+58C98yG6lDo4Ru2Ffnb5ZVHpOKEyj0yzu3
yT5qBl/YhTEgqzrpzDrqlvOBiDODTOlqzDZUB1bSRw0Pz2QGeXVR2MFDFAz8sP/gcp4+47OZl369
ahlEDpumLqYR6qeNezF2vVQ9ilc4lh9HdIw93nCnvvbz7KPCt3Pp0/75uc7ON6FEcWSaU6FMwMeq
Qg+DqQapix2OFj6XfQ6AzUXWaBrrQC0PY5E7mHDcK3cQXLT2Asv6cSL6pqaz8unnyWLYqrn5CKg+
pZNPOgm4pWRcF1pDUjKZ65VSHLHEBiD0DaJxZ1AkrpyropHHE/kYiWZK+xE2X/FmZtpmMFgXWi3Y
lWjcVoG2LTNnmeXtzRC++rqzFFWGks7ZuXiwKbnofb6p82GtluKqkO1BpEBflGEtx+qgdOUxBuDT
KFhNMYAm7XXaDlujwaVWNt/Jbzy2Fa/Szw496bbo/scHK6FTogsijXJM2vPQAWGT9OOseHG3Qcz2
LDcFzBdPfSLK5ktc2RsJskwZjGEOSJtc91YlJMeASLMq8aOdCJck8sEKRiWJG8/c2WiCnMgvV2mP
UpoAygJpFpXFihys+mr0hwQWasY8Ypck+eScgeAF1qYx6kCR/HDHFYwTlFbLOvI7hJt1B5sOUFQ3
RARENPF9k7JINIQJGCRREx5iou4jS4SVYB2C3gnWkIWQjFPBnhHC8OSV6KwjYawzYoFcpbgDo4dH
h7N+dLM7UOcLo2A95qj9tsqYCi2ocTF+4ZbsIBG/CexBTlgdXc+9slz51ob5nS+zO6Wq0VJ4aJ5M
LO35t8rVHvUE32IW55+jfgvLcObY4G5pHDw6wJG8ApM3kGIRbAKLx4q9a5VQqwZwgBFYq1rZTqdE
b5d3YnCuXHvARMqLnMYBIOlr9K1rI4Z76AX7Lmyecsfviasf1u8PlxevH81xNAYHA9nK2YbVLquy
HmwGJL3yFtJmRA6626Eg8QKVkDnYy2YkgD3+aK14aZFC/YPdK2IKtEpnT2sFAwwVf8BFRvtHU8Uh
i1Pq+dkHI9Gl2iudYXqNdGxpI4qz5zERBwGvFwSJD2LTdA2eKEjwKW5dqik5cjqgm8GdkKSCE4tT
ah+vFC6N+Eyqjs0xpgp7vnEURVqmRWfRUcDDkZQoThv0751i7/nxAaEAmz6XVNbxnsF/GYQoXkEi
7lUJINml+NgQyFPX8jbWidRy7Ssv1elgWcCSPYJoOsiZs1TLuAQrb+Mn2Wvu1/dN4JPcyek3tMAU
SJtqLYlDIaOa7xMU4mMgTrtmMeT20WjAwMUMl80w9QgTZa5LaKXBMDmd1OHZyMZNNhK4EzhzTTiH
NFAR8r/qVYwwp8WAP2XKOkZ4XxZ30s3RsJuYBtR6fJ4+zRwyGP6vPl64kf2ZrVSc2kAbBvBZ0Z2E
twS5l5XIV0/pEC5MHbuAccOAo7fQ/JBCTRtduyxSySqIwClQhapSp17oUetTZQDjqIEQTrxwTeQH
KQQI1OukeMNIBZhUhc3dt2D5EUZ0vkmkwZT923flakDz7xS1D95B4NDW4FDQe3Rae1epmCgT6c+a
Ho9tG30e4wL6RjqJxPF8hh5PMGEF378GL82XtsEWXaB341SdrtGf5stQraw0i9sM+iE9Jv1TaidX
Q6euY424mv+vpzrforUFvOEc5OMmcCApZvCFM2rsYBLnXa188LYurpJt9lXoUpCjsZ379X2ppV7k
pSl5X/GmCkjT87Nl0Oerad0eacMXzSdeDCc7uOEP3ualVQ9VGkpSLLXYh50tkW2JrCBLGF562r4Q
0NMUy0tdH5xAXGkFny/fv39gLz+jRSV/Cjb9rdoAnBp1CxzDjYwkBjB5hCrzrHnDY57It5o5BKrT
8v2nPA0d5+usSR9LrRO1snMu/hmrAqo/CQqbqE+CuUnIYYvGEbOlIGhUlbOxth8q2ExkwXXJg+se
yxiKoxxYI8huavXleMzrO4WJqsLsis80rVmRhuNaDEgbLCWHOkHyiJNaVzGiNwpdHqa4cWsXjj0f
5bj2vaKeOy7XW4crjawBattXLRzdBdfKVRjCl6J5W80170EmGONqmHCpMDZ5qn/qRXmbKdkw86jE
ImheBHUATVgo8UInP4HabIfreHKflxXQJASAhITlc3af2RyO/5fIhTphAcd7/6hePGs5Zw1aQbSm
0aD+etZ2vUdWWiDSTVcWb8nwWUAbib1xC77uoJvLullE+B3HjwqZl04geEAUMinomr/tDKpWGYJC
t9MNhOq3aOTjE2P1PCQ1id5smHpZ3MH9Ob7/Zi/N/nSeULyr05fT6vqnkUcVMkaQDPkwZgrJwdXM
BTqtaeqXubWLXO0mycvjtD55/3kvjXg/Pe/5/jkazaTNLTXF2Nyv3YRzLHKrQ6drjzJvD+8/l7i0
JaUEikiMbSmjwlmpvO5cAj0IZdoYWXTf9223CJGtk36+0WVSE+NSfCeVG6cbPedBDfCyuzAzqBtq
fNCeVzkzq9oY/muSQz+y7f4m8o07WJV96gE4NRJEfor26tt4sSoTWJ5nfYnQSC51HVleT+xeBWNw
im3XrPFT3YA0GeMHxkbYvZCnVkG2ZU2LLRq3SYVbm+S2x5O5xHYjldgnbHfiEOe4kUqF/YYG/nrG
zouCcc5aX8mOxGxUWEKoO3va2m8tMu7qijQ9giGRUi0zq/vSjmZHCBzbHq221si9Dp7tQ3LugF+S
acIUXMOYiOe+DkM4Nvo7Mwl207q5lMajy4q4rzg3iFRY+kH/aPojMVj1McqbA3EPxZJ09qs+tpYd
+NlQCb4roxyWVlDvyJitD5YMSIvC/EpC7wdTzKWLRkwB1DQeuFrPRZ1JUlToLgvq6gW7q9x4bMFR
1Kr5aBXWFQ3fx5qIsg9Gev3SySvQZOCGcGgVn59P7C99cgsZIOzEOegA75HdevpCq+YlJNxwSofS
phZcFYqN7UVEGqbeoQ+jaEOy/YNsaGsWOm3flNQOPfqeecUTenvCrdpxQkvEV7B44SU0ANXBZi2T
FguwZkGDeP+6uOAUMPFYoPPQGW6oVZ5dF74yJGgqE5hHXrpCP4XDXaXi3UvtYKa8K/K3ilmIqU8Z
4K/HSkDYnhAIs4ecCrmPEVER9bptGIXr7IFUPfRbWJ3WpBbgxIXfTqRH8rk1Vp5tAI8vIF7WCgEU
iTpFQ6vkvoZtsHn/TZ3qS2dzIqt9S5sWUy7ln+mM+WlEE/bgprVuJJtej5YlRXVQau6xzomykHq/
0oRXLPIUdHiqa8cAvgJ7+Ax7r082SJ3F6zBmGwC10g3cD8ahS0IMRNu0jqZVgvNbYdbvrbHwWgbb
wg32TZg8K0l5F+QYoy0TI3JNxomE411Z/RH4403Q19cWra9Z67HzrCvnc7dKg+ytjvmgoNQjc0vf
BtIKnI6HaDL3itAa1D6m8v2DY6peGEHRRiAVQOBGY+e8q6lGnm9TNkrRZ0uClGL8fs3AsOGpO5Kf
0YhwdPsxD7ddsBMd6IE8isdrocJu6IJXdSj1GxpodLcTiEGGN+VzNiWqN2149kculyF5IR8yW3ZZ
fQMdFe4JyYqioMaR2VwtVtgqiwiuKrmdXGwD1HHLDe8ZrABUZrmzSWJhkrabsZdyjV2uk5BjBNSF
p84X3JRgB0ANSF9CgaJtJ66p94ZP8f6xKo0AraFQlmpZoDxVjHvXCh8zZEgzozG1WVewVnIVdx+L
b07HEGxHzatvqQvPYjWTtRuEbIvS/gqx9M33/F3vw37yI2vhG/ndNJ+0zidiML9Oi8I6MR4rKY9a
07zq9Promz+2oa7R/eeBDbU+Bqz5u67diqKmQR5cWZnbLvyw+37tqcZBMBv4ZhSvqRZiSZclkSnC
uSMOme0jRECG2BbmV1FvxmTijg7q1ywfvn1wLlw6FRCkGSqiFTa15121gWZCUtVGuumjPAELaczA
+96nftWv2c9xfEJx15oKIZ7T+IXPJk61D5QlFxYtGARddObWNKOfF3iJuy7LdFqgiZyPr0uKz7YD
YrgVJccGOelGDOVyxEc6C2Etf3QVXxj9KZXQ06GMywrxvPqe0WNvujTMNnFDiGSRRRszh2HmALpf
GCX2qhwz0t61HiyugVXqBcBDq41X5OQ+B7W71rPo4DWlvjWGKQKwFUAIyeVSrW3b9N41tMwFgUnH
0CU4lLXFmlUNa0Ip/5rF/s+3/j/8t/z2ryGx+td/8v23vCB41Q/qs2//dcxT/v3ndJ//9ze/3uNf
1yS35VX+vX73r9Zv+eE5favO/+iXR+bZ/351i+f6+Zdvlhm6muGueZPD/VvVJPXpVfA+pr/8n/7y
H2+nRzkOxduffzy/8hFAI8b2/K3+4+9fbV///END+fTTKT89wd+/nd7Bn3/8V/L88pxS1f/r0X7c
5e25qv/8Ay/jPycvzCQamlo/7uSH6d7++pX7T5M6msHojgFs2gn+8Y8sl3Xw5x+G9U/MEda0zjaY
abku//hHlTenX6n/BGyJs8ZCx8EEy/L13+/+l0/xx6f6j6xJb/Mwqyvezvn1ycPgBeFlqDThf5//
Iq3QzcowiVRIa7HSXZYNBhU8JexAjvkrLWWxVJUgCfwqxaicUN0dWy9e/HTM/n5ZH74M52RcZaiY
NuK/TsOjVsmhhca6KQtUTUOiu1e117w4tOIEKRl+CaEsrMiHa2IXWoGq4AzRe+Oj1cB5mZGjQY+O
S5UCBLOXxUf/82rANbUIKz1KblXCV/QSkvAGTdG3CnKo1tl2Xf4U296tHQoAPBJeeF7PCw0w2phl
yroy2vbQhVn5wcZdM83zUURY9IUpjKhMqBqC4+lj/GmZ0seVVWqO9DZOO2Rwept8bUakEuSBu08d
opPQE/SLPAiUnRwhOzpDry36SDfheeOjh/xr50sL5+zaa/xdW+TAOKGbgjldx73n7iudup0l0tsu
R0MPrPnvLwkaAjYCiOCLwR2WWUfwZiOC/mYsw2FHrPcjpNDiqveQoBmhkl8TCUh2Xa6+oQezd+ad
5d+XIAbmGKfWg00IiUJ+x9bXsu/Cc3tg1ZU6L71oWdXVhiTUa09LqiV9X7hgwNuv1bR6bbFCWGMH
0QRs9bUajQ9uTr6TMnzz/HpuVFG+wpbh+Duv7eq16yRAcYb2yienw0XfP8Wy2qmxKpXy4ESvYojB
lXfBFaxZsRYlShOjTBBH693Ro364cpsGLp24gkUwj3Q92ycUjFgIRhSDnQ0bxg4LRBxtZZAt7Ba6
cDzg59OdBf35rRtomyTiZcXp96EENkmxBJxhIN7q6QPBqn/dhY+pRWRmXzfpYkRfzSQItG4kjqmr
zB3SvXoRMvB3reatyyF8y1JIXj1m1imu3cnG21z4t6VhzCOTIIK+Le+iB/QwL6w3iE2EKY3JXCwk
w8lNDI90LODI9ZgGcMWT5G5MFRjZ7v3UXFcKlTS7GQHZmOiNpH47enLjZHguNGE90ACw17oWMdME
ETtFGKoFCxEr7T5hahtp+5TNUun9ZFf05QtaWbKFb7XR+eo7I1QtpMVQrbxHwpuTRaHRWlMM9Y4g
KsIukjfNhJhUp2wgZIqKvzIm4E8HWDVzvmjFQ6il2D2zAZ6K+uK3BZhDawEkeqYGODhStSfcNO7e
elK8LUKep4AEmtapE89ANCcrx8VrQsrqdYOAeuX6jXFrpgTKJDLgrCAnp5eygIFrf8MZYs2HiFit
fOi+J2x+YKYM3ixpQNNSevEWVVOm8HX8emWEFOUjs7CuwavvyYACCFLiJS9Y525EwlKyMaxFYJtI
pyy+mIqDRvp0U426BkHHv7+kNdScMgrBy04/U6zyZQiTcZnqfc3RDG5sv7JotRb17vSj1pdgAE/f
n77UTfaJRUfy05+cfh5P9z/d48d9Tz/78e3plrT6ERwqQOwpwiLT25Dtem8++uTgLk8/a4Yx251u
4XxysNwkj3qApm1ZK2W260Izr0gJ4M6nP9QId2Fl59iL069PX3JET+P8dJNTRsTTIZVzsp1IYZju
+NcP//p6+ivSRlzcu4b5153k9EQ/Hg4FvEur4HTXn14J6hUoG4Bv60qdLFsaW8fpjj9em+ujmgaF
N72E00+H04s/Pbxz+unpZnl6uQwhYIEA65g2MBwrEm+NQc+hUjg9FV976WLYybrJxeNboKIJR7wi
d5uc3Mi7rbxpPa7C0obFKnvZ7YK+PYZm9Zo2N603RJ8RAO1JJdix52/vnHL8bBrN97rvduw1iPSz
IL55RcAefmgoP40IAbkuYDYysGNn8okAkxPiwb83FZuCbEjAautE95HhzSLbuPFiQiCGsr7TfZe8
0az5miRi6TQBGUmVNBeBSDLyxiDJYB88BHDVCV4EUOZe94UbL+oILA7jNwRdUbzVLSqozJabzAi7
uafLHtAcHaFA1R4E/eI1xpqD0nvsluCdm+TFHPFp47Ii0twZlmNI7JzMun6eWjBcnKlNOdbujHJp
vygCUEWhAXA0Fex+VIdgp3AofCJGE0yZ2tar8WWpnVrRSBLqMk/SBhhaRUzd4C6dMAX8HgD7tLS3
kuv3S9nc2AFocjKNx1X9Gju+vbdDu6BDmUULPejZgLJFHidVb2Ob41ISSORWTbMqASiq9SqlZkns
VTgs4rz/NNh4zY1Ml3BWoS4wwVV9YIFu9zedPngL3aQgGDavskvfzHF8aVX5ySJ69V5pnXKjK2Ij
YqY6vwuLmyxR2a0ROTBXmyi/Mr+z3qPyxlY3r0tcLMTHgpFon6se4K0jG21uOGG+tKHuk7QGDCtu
GIzVXV9xhUn6x20NpKwdNWZSgtpTG2hp2erE2DWLKrl1VQw5CDvzWYHvMMzbXVpqRDaVr5pboK7x
3WVR3pR98BSyZ1noThTgzWx2qdMQPxYaj3bznLHNvNJc6E5hUpI1m0Pfagy5bk14nloIsUyzX/S0
fCO5E8xdWJbLYTSzuSJAPOYFHPH+msiNcY4v6IDREFTztCvXCe1C6QFrLPJmdGGamV4aqwokg0Yr
YbD0PemiCI/yjYqsb8GJfWOz8V2pPutN04ZaSYIKqpWrsmn7pT+Qe1rVsXKbs5rZtv3b6HB6xXRG
V5E3rvy6+xrm6kjuLAw0P7hLwvQblzhZuDa2GSelpWftR6issZN98uosYjUnjzZJHu09pTwSxer7
1IPEp2AXlG2xMYIsXeLwQtPpBk9GCGZXJThDzUB0iuImQijBJ5FfGToTVA8+TZTuvFVIoA2lf6sG
DtceykzbuB/S9qnzyORy0IFeBV60UlqfCGL7lpXfNiYRcD4i7FDCAKi6399LzUxXNigTPnPjO/Zs
zi39qidzitkyFcu2YN+Xql/7kjpuIIpvRDnBsXVoeKQNPesyZBaLw4dOQCYTbWssGuJnr22juOmj
igg+C8Rb0wvkhg1USCDZ9U4noc51yltKzCElB3PGwulL73XXBAV9ljFDkyA8q1V2pdsWjNrDbR/6
HOgBEpQkvFZrj7lLzhn9cpNhko6hq4h7x3MZXQJgmwFFod6xmITlUC2sXN8UTvuITsUi/SSaRQZb
2BaBPlkQqzoD+Vca4d4mrcDxF9TOQ3i9w96ue+yjirrPEoMw4La5kuO9js0SNBIIcdpNXwsD6TW1
mc9R7cPoNo2jM165IQIzsiuuVTU5DpH9RnzcM5k4seJ9UgJ7F5uSMjSuiih/IJGN/J1o2JvCfc26
9DEvMLqq4UZcDQ27dDt1goXhi+QAYgLVCdk66YHcIwP9LMi5029OP/vr11pis5ayh2WcF8eSSWaT
tPrT6a+8IpXLoulJ+GT6PygsYta4eMFu6y4hmx7g/IjItcOY0fDXERDjlx4OegH+U1dIuSknKqBN
cAUePdChsuBq1EHzOyV5ImrpVTMzRqLkqt+dTUu0xd7wSwcJQXYvTW+bFiCnjFp3rjuNlV4+av3K
QXkbFolO/BZTmqcW/bWmHEPH4R1Or8Skcb+0qQczqjocvnZibxsoLeXY4qUGKKuG3/16zOCqIuai
OwjBuW2fu0CSDBeLhA9+IPnUpZLROINxDUaLAHXjmkRu3nWdXotCf9MFMRuK0n9VCoPkMm/GFsnb
R3XvblM1v8Vfb6+zDJ6eBWBOH5uDm8bhEmX1d0Wxb2IHpOhY+zcdNRomvdo4EEuGNCdJrl/UaEKc
jDkaLnur5yDjO0tek19RHfxevbMSXd06aZXui4FoDVepuK9TzYLpQyzSlNS9JPCABlFZHCptWLpl
680LqyUYlyy/NMwxxUPGNglKq8uiOcRVh9oKLXjmkf4RBeVGG8qXMPd3hunVVyLq4p3ox3uv6YaD
2bvmTnPKnZ/G3wOb14iay6haniblzCIQNj90VnytAdxg0Wg9ohXLaT6p1F2Jra+dL0AJ+jkJKQV7
v6E96JKcz5gwtrAYdoGb3SSx5m0z1sJz08o88gBLi7lfWZbaMCzSKi+RhATbrHa7QzJ9EXoHUhtv
QgrBOrPHz0hPaPxuInJ8FnbNysUkyG6uevD8XSN8QUjWbULPjffY/ciNVYutp4+v6D5uLfECsJLT
otudvrTTLSV3Bg0NNjerRhs1xFHcNHxgmU7Jji4od4VZcECmW1FAxBz1639/f/qhWUiSXk83SUjh
92zk//77iz+sTLGIDfhzmOGJxAk42nY1lLvTrVCP5H//7elP5HSP060f9z3d7ce3p1s/Hso1B8Yq
YtFZk/FEpwdg/LaU2t0CzJM7Mk/k7nTrx5f/9mduZjYsGi/cr2TgD+08RmFDX+bHQzl6VKrzH9+j
N4LCPj3AX4/146lCXfz7L6kup15rkosFzNaJ/vr7n37vm40AjDk9Skzo09+v6PT96fGapvkq3UFf
slSajKTTc8alxUB9upmQqZj4+qdkUn/qXnQTKFiVMsNIHm0EWHXua0RVE3JQx0M119nibSOfLj8q
mHaWOUS2llQJCZ9LCZHy76AX+TNJHiTHhsAlG7CDNPP0emgcOBJ1Wq1K1yNrAxXhSgkq5JDTt62v
Jde0I8HGBdj7uqIz91plfMZyaK5Hg610Ynn60kw6q1jY+HHDTGrbqfi9RwM0owX/4EwNDDPaNCjU
91EQJvsiIB5INZjDMKfOx65qt65UbyJHkKVAfqfcD7y8ma/qwWoQG6ce8/3Q7j6xER/3baaM+9Mt
lzAxInjp7Z6+1abfZoa7q/4ve2fS5SiypulfRDbzsJVAA5LcPTwifNpwIjwyAGMeDfj1/YDnvZ55
q0/XqX1tOEhCEhKY2Te8A8EDivDpX4fFiwY9GAnDQ6Yhal4aRxxv8utivaaFXd5ECgp+mckJugyX
hdqIfLdf8AwB29TSikJROYqv/brRqF1gzWmdRdOg0CxN28/vTEW56WQqWEs2xkWPH3IWNv4jPpB0
nuVlqaYrs+l0teLiG57DDvMyR7SxIq+ZQs8cKSI96HLkIBSnLkjTcyoMU/rk6G19W1wXpGqEDL5n
lu8JglGwyutd53XNCVYSjoSqdVHG/hQ1JHhLjmRr5aGebk8I2gLdPfQifWk9Oz3GbqVecVNWr9ve
tjHkrF49TO/w4SzJlyx6eQRUBpdgXDK98rej6tkrD1RmcBR0PevSFMDiLEM7la2LlZPmvHuk81fH
amGsxH2grI+G9U4hv6BOadLZ+nwucSitgAzrRvlI5Z8vXQrzut1Y2547yvggLB31SzSvCBz7K5hD
+2QVi3H1ZG8cMyGeF8/Uax+gaGZpV2d9aXvdlrWB4PGpTXKCPtRJqNnKIMa+62zVZJRz1V8UdQK5
aikOoZYbXXU0Aa7bXh67LglYWgZeUYNlvDo9gn347CkYLFlKGeR5g5okrnm2XAK9kYjqZmN2tfUc
k1Cnf22No4fi2mF7ltZw69uYqUKRcZH//feR2+HbBsi0sIdvpmdhDDBnfUir1fPNmZU4XS9WUiCA
7a7/Yb/e9NsGCHW1XzTUieeuJhHEXXBJ5F8bXJ9pzW2PP3YVzK3WrB2peWV52l4Y1rdUYkBD/G8H
brvbp22vbw8dFXlanFkxolvf8/nC57duz30+9Ppmddgl5P187vNLawMQxzw8G2I1RmwT3NO2F7dN
HdukAKZ3+Nv5fX7jdsj2mc125vlI5SyiF4BKOT9ecsN5plCPn8dte/9xev/xcDvkP05j+47tuLFP
3/OhubV4ah6BPqqsu6ixWHX2NRucqyvhThUt4vsmXZSHioLzyajxQ81N5U60+DjEVH4ConQ8wN3E
unkJcv5Ot9xFlXcxkERVWwVxuwxN0Km1kGu3ci1EJWZ1UlxQRFnsE1F9MvcLjgbPnaMe8SY1Ar3N
3nXi3MC1cdBQezJds3KjncHoNGPqsTWs9TW3TN5c1O6rHEH0pXNhCU7Y46W6eiz6mjtY147m4L5G
5aze7CF/Schr6LRyp0hMO/c81M+cRI/4FeGghfIXBlUP8TLHtyUq3wp1dp/H5EfdJ4e6nbR7B6x8
O7YnpR2/lBiu73AqHPYzydN+ccc2yMrsNVFYlhe5yCsMY3UnB+N9MLt3JFnN81rpCEYBeLufxF1v
jq9d5D4Ulmof8HmMk6y70CUnT7Mu+ZwHC9coYD6PgqgCdKG4sro0rtwrQ+J9jVBC2FdiZiYqXBoA
EzjfOb4Q90doBtaHJepInTzzp1V72Kao8oyFV/YIHcqigp7g5xi32dFTK6T/ZXcPSLbAxK6XVIOn
vWZ26XEZbNQ/OvWnbLq3XrW0gzmTWCwmKhj1yyKsGKnt7Ej/1T5wk9wkNvPwJ8TD2OjpAQs0bPmi
u3GmoMNQNkP0GSYzIwVTgBHZ7RcoYkGbpXUwjEp5ivJIXqxlQZj5Xunt7ijUKKw8E/6NOy9+VekJ
BeihvuvfRGS7VznO9bfeS8Oe8uW5GgV+OWUEj68crEOi4M+i1ZV9bw6kS1VhIp3cLYdxrK1H0FoI
QKLtOVb2TSpSo2seHUVdGGFelnTGo8S9NKn8U8dljzZsbATE2fNp6uWA7ceMzqi3LLDOdGXXRQM+
OhYC/gQkVRAlCja6cg7UQu33wlG0Q2KOeGrNi/KlRvV3QBH6DBOCKgf877011PqpmsVvM3Gze9Ws
0H7ijqLSZlDkk8d8joeDp4zykOSKFQy5/EnWtxOTvQQZYPkz0sDnTLP7j7bc/zZ9/7umr2fRYPs/
/+qr/temb5v9KLsf3T+6vtt7/tX19f6ge7iiMr2VRu3+revrmX/Ymu1R6TUd8AgIenx2fe0/LIzZ
6fBBw7TohtKe/FfX1/hDhSZnee7aJEV42P2fdH3RQvmPvq+m8XHMjkCL4H2adP7+2VBs0obeoD6Y
Zyt33b3BauTHBS4QqfWUm06KXDVOXdI23ymoOuh7G5p9tr321ZkalZHapSdqGF9du3jtPGR27cVF
96siPdCU+DvUEQRiZXo2lmEKdCPF84oekBvfoAhMgdALNIpx4cWizXmOZ4FNBZCIBPGIOs7csI8R
67ec5UbGjUGrUtCJybXZOiCAlAVpZOzrTPtJ9zASagc/MB33CR2hXe8IC3KDMSLM7fzORgM4M6Vr
qZu+Pgj4nlZ0AowSQYsBhFl7NKDEpFrHQodbpJkT9TyE25w5eTBLTz/nKvNS8XZu6+Q75Fb74jbu
7A+NZKgv5l3hVsuDSIXmUwxT/e5LYkt8qFxBj8qB3FNVmXeq8nBem4VpJdKHxVL2qfQQNtHFdG9V
954G27IXgwhQa9L2ukll2CyiaR8P1Z+l5fwZOcbqIV9hSaGD0EQG6SKXy7zAVk2qUt2rOSykOw2N
Jkw+w9qLqBe33a1jrrF1ATdBzE+y0L8Wio1NbJE8Y/8ogqnPzMNcKCWXtW8PC6rZ+XTft9FDLjJS
KTVTj+ZIazAdaxsCIHDfITUvRII7q1G9e8czKVB2NasaclGjqT1HFQWXvoRQHmXRIYrTQ2vbzSGy
xkPRKNUBHiX8ZQn/XXMPbhMfsQ7Gx4C0qF6j1yknNmbBiQFCQr5Todz7NOlwOrY8aHKoBjZt2x7B
JFD6q8UJDNhbpWaPVdeeHURyWxfYVVN4BBwK5ttdT9kXXFh6nr3uTo8b3Hc3gV+caBa1fGsUGOd1
/L0TOGAtvh6X76Lp90MyPZKUle5MAlfSZRTW9JYQnO5zW8OW02TZV8lDh/g827V26m33RSWcOeTt
iBeWp/1SmvS71wV0T761uVuFuITyuzTnhzmJV9Od8WUeuLqNVf1wRowhY5mVfuQqiLgrinMqYh0/
wRmVtSXCEEfguB1lgZ7Z097paeJPjfmq1umfi07VWqezjTYnHDkIvb2Jk2Ve+2KBASJmLJ5lEf8Y
dfK3LHpQREyFGnkNYegnvbCPM3ZesrGIP7qYmiw8G0P501qg6nST9T6muXnMyvgkyu4XtVqcv/M5
4Q/Vv3TS/ZonoxE8VcKtDyVnvRtcO4EIJPfTYD+0mbGXoOw6D7MQp1kVssVlNCV9egFWMUreM63D
qMLE18imE93oxhtG9SIYI6ybK49GO66WjpaRsVt04RqiZ1k+VrYcjzaoPOCj6VMyYDBj44A+MaAT
PX+qVZxgczyc2v4Sp5S4a7ovaiAreeM3VZISWeo+CkZc77pXK9XvohaLDd0ay33prfVtpPsNRGuP
emb4iqucx9z5Ams7MGO5p8stTrjwwEvttJ2OkDTOY8W7jpAu0tLFQ0PfAb/PFEclbF9iXd5iT2BE
CkLWLxoAsNqYDXtZyt90p/DgzZtXa1ATMpvAUFoRuor51uVJcgdq6xy9NvaE8MFEFdrEu88gtDyh
DIAsdG/9BgqJmno+RZf40a2xgMiiRvmKuTlqYr9ypNYPBdbNQVpA3LL6AuE+E7FrRC0w+h3PRZSH
OiFPAH3pJXMNnLjMmtscrdZdhfz3Pl2cV4nb2DQRVzMo5bmOUSylVXETrlLya0ASGtygxjjdYh1e
2owExZ6MH2BKUtGNWtDbt0eiLt1M8TxNpzdJQ9FXLUhVivPTTG+t1f7KLKyH45UR5uCgW3V5cWgT
onSu2uQt+aEYxD1l+/wwZ5hOUgtv/SISysldgQmd6p1F2YYJQ2UnM4SL2klJrz2yjTazzwltVwwK
f1WTAz5dYlEUuw86hbDdkquq72W6u29yZ0TAfQwUYFuXQcaPel8ptEiUkfqDvlctf6yV24zkr2+s
LLOUNCGuNTt0ihq8v93lx8nizqDSUUTdLXGpaixqUvsrN+EwGUI59vMcaDBxuKETZa8lQPZzieJR
3xRPkVWi/KlP1Bu7NDAi1IWnETt0ZRG6X2GJNMNaOehElj8mLddP2K2zxKI3E3h9eT9O9StUGXet
ENxNTdUEUze9kG+o52l4gVPU7al8VIhEKoSQ5bKvEyyuLA1SNZpsbRybFyYDJmXqa/tUl0crogCM
kCR1F3r4U3YUc0tTqSUZzw3rya3ip8amhtCMLbhaCy0WzUIZVURYXdGPhQEw3AGcMI74N6PTYtPF
1uPsB7iT76JqycUx8qJ54g/gJ6j6ByMSkXiiDycdsCbNHSQP7PHkzkiWmFNzX45LHlheGBtYHZpr
n6pC9WWAuRO5uBWXbLI6pYiNx/ukeU+jnXxPPReaokHB0zuqJlKyLnq+rUg51SHmylIq3+mG1VK5
p8sasaqOVsS36oA3khxl7OaJlKry7Qgofb1wYL3gezmCRoVvFJbZ/DUr9Xu75xwVJpJdRv5ySkcC
eKXHHI1OW457zJe5sN/iBpvCdpLnJdW8ixWjGkjhHu/4eR+1DORKzY9aPSS3CG/4dAb92VlglFQA
d2WU+jJtftBsKIR+KSOH7LI2f3sGgG9tPoAD6L4nqKXU9IDVnObXhO6JP6Se6g9Kcq8vY37TLl0Z
M/isybhFi3HS0sE+Iya9dyv+0HTw6K9GCPQ/FwLnmdZCdVqV2SlBfDWaclzNwLUEijM/WPcDtE4/
05o3W6WLpkgWaKngKMVk5osWr98elE42ZCl9qsqXwIqZW8yfLQPRz9XhZVSwtJ1BpZJ22/7y4qj9
21yZOKaS8FZEb5e8mLsDqVsM4dl700RTHxqdpgVL4zehKN7ewfMGAeAI91ZVxe5tzbsijBedGAKy
UXQvNJjVY2LWN0ebBEfCWhuTg1r8qTdZx2JoAVTozpHMf5gZheAOjvgOhJPKfMRk1aWdODnqcoZp
9QVFhAmfeCLB1MQ4JjUa3+lWz2LAWTTQOiwL1QkP1JJacNzrZ9FiZB0Nq+UYiRs4Aw1H9QZWm7TS
QPSJS70iOrvOAm9+WYiZkKE4EwVij+KeJ4Orns0YliIYgkRQAZljTIdr3aEY2lsadqFJhv9YBBEZ
Fe19YUAtRSv5R54lcp+hUpQv7h3r0hQ4lTH7sWOvclLcoJQ3n3XMIpbh2wjwax91Ur3lDmmpcA5j
iVWnGesvltPUAXj5neviDL/FXJmS+rN0+asFXswo0HQKnp3YvGlWPpwK177WhiPO0mYJnFVsAZeE
yAIgHJk97XxhGamvDojbRnjnRcm9J2kAG/3MKTXq45LXpz5qH5MUiTpr0dwdGhp+w0Vou/6MzMxz
N/QzYIC6Pogygj1i2IQSiC+j++r4cvDGUw4dyaIw7NtcTKypbC+YjTg/I+1Bxv2SE7sc8U6H8juh
v+6ARdOK5ucQxXgDlvHPdBkCHe/3HbrD5XHKkBEV+UQfN/b2MykHLI/xt9bFDqII3WqCxqQ8S2pb
ZpOsYZtJuEmoGZnT61hJ407+lug3zYl9aCrjVuhAONIcIWdUl14atzwNWW/6pgDSlaeUxycKS03q
hk3l7Xt917WiPnSyxnVcQ9FjRBjWl8ny6DQT5YcCH3bDqUKrg98x1oM/1dBv0eQsg3ZyDbKOxtu3
KsUWhJQfu4rpfRVzWZzR8kUPvsTrCcELXfxIVfW+JFhZV0N0apF1WEnYKAmo+/Ls/HKdOLDUAeKI
UjJOWtqxUj3b+Xipil9L4ik7a6zRYnFXOpinfpvl2QK41lZle0ir7p1Y6Y1Ir5xW75/KHAIE0Xwr
Q9UB6mgX9BM9ch36T6XH0a63sUlLFAuJY7sJRntE2w/sSgGGQCVtQUphvsazehbaYN+GqLL3Ukbv
iy0x/2bNGZzSQNW2sHEQPtCSVPD7wyfOOGTJ6BzoCxfYVuAfXuT9vQl51VpGlymOUltWKZeMAXhu
DR3JK8zcYtE/uwntnmwUb0WHWoNQalwmo3ZXNDbmYVYJyWeQF2zlMFud8TdPvOGMwjC3hytf1QHR
fKNdTm1t/M6N/OvYMJXa2s1NclJEb0TGu/KCPFPvY+zZUqc/mlF3LW24q3FrUKfU7TMuBtcojc5K
BqLKbYyn2KnB7A6yOto5hUPW0IUsDHL5xdbvx5hYgl4RVOwJv6dWTQOKpn5sKe9Ar9SeULbsRsxt
MyQLKm7kgxkh06B0xyxVfgoJ44JaAE7DFSucZRCTkOxowYAg0kFX4xC6Ksl8Pyehm1fmrmvg+BPU
sp5rCV0gArF9FkPO7xrYhSVun2bholxh5L8hjd4lnXMQWuIdq6ye9nRSXsGAPWtq1H/1HOVRRcbE
F/UpN2HfiPi7U3LlsjSSh5iUvZzJTZpHsyab9xYsPx07stGPxEZKrX9omZ7s7TTzDnZHlCVwyBLm
YO7zKvvmOZifpV57qgbEwLxk85g6zEh6D9AVhbHrpqnkL8VaL9GSizqk4HMK3IY9t3mCh43XwdzX
KGBaP5XO+l4LwWXXXzwLq0ikLVn3CKMMzbeSlXIkV2JmXc3om8CfzsGKZEAjhg5YYGIBos00uR+r
174DM44s23jQ5ZtMk+pSMRWkpeseRYLK+kRfXjXrb0CqRlVPg9S2DUKEB7WjzzQuPWte5k9WD54i
7hIqvO9lnDzDYbaudZXfFgXSKevlpP32lPYtxvXO7dWD2S5omFB52emdDPTC0PeRNtD1stE0R2XG
ppHHGoIp4KDTHgZ9TJuLJSruHsrsTfZzftVlR6leijtHlb+G8rcuPZhXFLJR+h6QxERixJLSQjyy
2U+2WfpLJEd/6Z1DaU9aUMQCAYTqzrHl6p+GSbMz0RPWjXbXaJitDO5NTdELNoUSFAp+YMhZP+YR
yHagmfuiJ6t0G5X0dB7kacY+o8r7a29aC3MqNaouKWkaqt902eDdayzPhYNYXxbtC8HkUkXaLYPO
d+qJeGwBNWaUCutoTNOgdWtIrMQlcUTeZOTlTbMU/F1doKPtpD7Vo/e9NRhpdv9kN+5yoB/6jv4M
TwjuZRO9Z5fIYej6hCbCFFh6fCvq4tuoMkWlHlWLcWBsFuLrlOCeWCaUZfYij7/m4GjJxeZb31Aa
6mucrxNV1R/LJX3BaKp71JAb2IlS/liso+xEfYYL+GIb0/7Wo56WLsm3BT8PrigTWIpnHdoVFfAI
rvXH7vZYFL+ywa3OSoobcqMsQU2/Jtw2KC0cbcbccXtEm70KG60EKW9GDzr16blApihKSi9EuEih
5arej6kKkroYsG8zAWNqBT9hdsEIb7syd489tbdjoqXMZNlw2pJJt6Wllcc4KCd2N35JJC6Hjfxd
Gl12TjS7DWI9eegc/Wno2tivXQQs8BcgO0bKqGdGfpfKg51Yw08oWucmxxl17KzyQncZ/9fBbilx
yJVlELmcGUodSpPzfyIECPTobCuAM4U1MKNpKCYyQSDZAuxX07P7dbgCi8toknxVncRE1k8+GJFz
UyTwbvLZwU/j+qz2GBkPWkpKp56Mrp8fI6WaCE4ALeT9IyC5d6YioHeGfcNwJsxk/mZLCaVZkX6l
qPs2i+9059Km5ndpuJgXpgN+muCDippbu3axGvb0Za+qb6nG1F4MuKeL3O0gkOuPOQQiv3fqV5aH
i6b2YSNEtysELQbXsq4R6rw7MKHmsa01z3dy9y7r7VfgUS+1Vzw2dY34cT2+D8gkYAJ5QR0f/Uhb
G44C80U60LnOTc+0AqcUWqKfcdOqD4PX3rQZEppTORr12Winlxqc0Ka7c2bVOFl5+XVRAkKyL6Ol
ZMeq7xXKrONLAUEDi9h4t+o3hpJuRp4KgIbGoS2TfeZYIBfdZomOcZ5dKCfcIcJ7nSH5HqzRrEOJ
3OVuWiUZVWesQ/3fG6Msa1rDHLI9ZyW0chRjKvfuElWhnIox0F3lvS5yPQSTdt9xKwHE4hE8lO8d
crHpSNWk6fLOX3J8CLfBYad1FaLXqjPJoPyUD3YIhcMI+5D+eB2WHtjulQNpTM2LAUgplNC1WfTW
F8d8mf3OhMWxnbkyLfKYLuR+i6Ph+LOeak9fCH9wmbjHNDYgSmRvlbl8aQUhP3S8Otw2RYbO7+7z
scaFUoWdnLdT3DZziSTxxykL3DApp58rMqPeEN6hif0Wta9QeBlA4HGycRCJ2lvc4SCyh8ZahmSb
zbl3n7fBaDhUtHSalOb627dPB0D+r09fv9vIUgqksVsMl4YvyZWyAIrBL7acATvk7X/YHpeJ1x4c
fX60jOGnN+p0xymfyI6raw3tMUqaFM/QART7tJgregbXEaicRkkyFsvQ9PqzTLMer/mRk1zPdJtF
todIfKNNveZN7TqrbafeGvlLw2rFEjN0oacPgAtH80S/pT+VURW4iGUGySAJG/XhS99FuGlZArj0
VBT40k8rcUHxgHE0pfdIp6IMx9nE4rQaMWfsmRMKz6tPiVgoS1l06YtJORrg4+U+FXjKpJF50Vo8
rccpkQGKFzJU477Y9S3shmKZgackVlaF2/cAiySXyUGqDRqgBkdxutBSjH2ldPrJVkxb3VNcnOvT
GmFs82+W6H3old0dMlrrJQQDDzqQaHSFtCEj/new2nbHqanye1GnIpjLhNtMjykwu2p++hgq23hZ
N7oN4Zk4Hd+2rq/CoXbTfCfWyd7jzVjXdI5fpwJF6xR7oLIr7R1SDgR6aWBm1bmesaWeauvPIgb1
UeTWHR1I76DOwxhuGwMEX2D1q98yIvchmmgu97yBT5xAEpGlt4updzPb9EuYIpS2I7kCbJ9HEMxE
egG+XvtaT9azDcZtU6/387aXpHg39nHvA6LHe8ry0jqMG7v62CzrrfE+2AOrrDZURhjXk4Fo9Xe1
xGZ3uw567pZ/XRGqOa6uvCujRSpopz8bCVqWVG+5dmYPDD0W7TFWl+8T8CTfSov7Gfuim7pumjQ5
DIqOcXaXPKkWKR1N579e01rlaKHTcXamysLhC8T9oqiBW5MwFVQkrrZLpSsHirodAPGhuyCcv9te
0wp57ezotzQxCDca5Wi2EtG+bOx34JTR8YsBFByhieE9W5fF3WgapzH3ulNHNVQbWzx9lcjCn9qi
BmFNgxdIwBTXqap9qldfqS1QwW0JkvT1pFXMs/xaWUULCDRuycosUGBXolG5/PTmgeXRGK69Y17G
Dl7yUtwGL6d8UWrlLZp/V4OWAPTpqCFRcAM5M2fntBUnN7bxaerJnqWcTThjna7dmDL129gOmFBD
hQdgnF+TrFlOQ6OAGhgRiCfF2jmu8trAneoGQZWzKi5uVLqgntqo8QGuggFAC1ybijea42CC1fxl
aBYZAEABhyXd97QtHooM/ZK5G8VxaIixkVd26yVI7PSKnlR9gZXInznXlm9rnSA9gZWzB9yFUL5u
FJfPjTPpqHO5mAyXIKJGxz4krveFwq0KnH1u8kuh4XgzLD0xSDzuh5SlDhCPb826Hrqr1/O2Zwo9
UDTdPgEhLy7G4uYfG8elyOlZBGeD8+c0Oyn0SaSUvarbVXOsh5ppgH1Z95p1s+19vpB0tR5OUanv
MzqmUNI4RE0wrKffX/ifx22fsh1saulTR3390KiKHY6mbod6JXCp33Zh5SvIhCU+uAEZ4t64Pfu5
aWXlfLypbFc4nVVke200CNEmJyz7XgVRs64k1MnDOFLdcFJ1sD2Fiu7j7OdEhHPHzSkbuFdj2/+k
uGLyAVq2L+TRk1FyQR/TmbzaCFgKuC5Mj7GhhCoL57lmVpUrFqxA1o2ivLT3TpzJizaD7xFy8ruC
YFKL5Bk1K1i/SlYdLGaBHXoe71aiMry757TP/6S6sq/s/sWoMLU13P4woNKZZuS4mes9ywzz9dyo
kXcwTpRbh7sSc+a8NqPd5CCEZcia1lsb6F1hbzXM0Miws5I3MUvqGFTSRlTRfYgc75MK18XgL8vb
7t1z6Hm7GIJhMSK8F3OmMJ5apsCaav7Okq0DEOn1/SypdFVgQ+Eb7VxbUDnpybMLRBwq89gk6bdE
zZc9xQxs7gcclKriOe/EITJ0Ko/GwCLLjGfhRdp1Nf+CRbmtFA9ul4RRnqwdtuTbWLylxegyr90b
s1Jh51PcV7qi+nURwW1ZB3sVqLCZmQfrs1ZOVIcagoUl2WsCmlfrlPWdS1lba21GfTSGrp73l7Us
u0b9BlB6R6lpfjknuxEPxmxaUIdYSpe8/8nKIA+ufp8rU0gf/2GqsIETyUsz02Pz8m89jVNuLNpZ
Njpi5bfWwW4rSjNUsSruAGZKHK0ne0fq0OwNwL8LHzZSXQSYzn/UowVaV1SM4YK0gdqZF4dJMUY/
TMeyYKnnuyLTaex/63psNEcDEisTICM4CloS3L3eQA9VF/XWRNFrj/S+wK0X1PF5Ql2zLtIfNZ0A
p0gOVdncIflxS5QHRa/DiD6J7eVfmsjvhxz1mqi8szUP03HnnEzer9Ep72Au01IY0x8AN4KVZFYb
Iyval8iFGJR1RuBVJRQYzbgoXrtX5lVIDoXZAbgyNQN3PGqU/Cqh7Ews2dFsu1IIBC7oqjcZjcdB
En4aakAX4kr53NSnu/y3oo+ntOOqWu37VC83t8z9TMaXTo+fWlv7qtnXyLF+tcZdVoAxp/73dZIU
12ggn5vJE5dZsSffQl9wt4yGdmG0o+v97w3yjvplRomHMxVv9YLO1+wQsmXmAkBZL551K6ogG+Yl
lf4E+RaMTyAKyB09h4YxPqhHtxNfhubkuURvE7K5oVoy7O3Wk2twxuOucxY/RVZwJ/UesbRpmPaC
CuMgzYYcjplXxpnxmhB77PJ+ZqYkVjPWPJNaBRezp1oatusG4zrKUvUsGJ1dG0DPvRuQBkgxGg+H
uGpDJCgzmkKlS0GBsHDbYCL9pSuW9lD3lI536RrMza5RL/tu+mkvqtjnBUmMs2YcIMVObuTMx6TG
zHz2ql1uRsTf24vTveiKPKTiWkPTYAO/mwitUMd+X1Bq3heNAHqSQigVjJUywde2waRo55SM4Uxr
p1CxVS48DTokeixAawtsiiLz9iOce506GNq1clJLOrq2hAbCpiDlCdU3Y423+0X56pb8klJZl7zt
oLagYZAAKktW8gIynE1IsgZNfdudRB2dpzbQsjwKOjd+1mXPzylSXMAolvKLp4/okWaQOYDKUHLH
GC5TTLCno23sK2uECha+YdWoyGc+H5eadVZl3B+9XtLt/fx6sZ4IjT063cwtK7mhyDCUsJsIY/uV
MbA9t+1tG0WvrhVDn/jIm0JCFeeEam8Q5curYcL4o5X+ZI1aemEt0CjBUWSqSocmXQUNthyGF7WD
d2OMa7OQ8NcecLKgFDiEsWMsKEmheg6pjdVo3cQLAzZWpmNJbTjcNlbi4L2qiFO//cJuqUof95qZ
SoDQwUuunsGaSA9pbXzPFabFYMphB8O5RCS7VZmnh1HhBiDWJvci3UjtOOg6ZlR2eTLv7D6Uvfd1
g6D9L1jvvwXrmeDk/n9gvZQr9OOfWL31LX9h9TTV+0PF5w2fQwfjNWPVB/pLoYWu1R8AvzYFLpRB
cRr4xOo5KLTgirfKujnaPxVatD/wM3FRPDKoNYHh+p9A9TTb4NQo4c6om69qMhZ+5oh/aCvoD8ye
iQ78P6F6ReN03ZTZ8uoa+RCkW4K1bqYpW0It1ReUrYGIlzWL3cd4apgitkEVbXvrJl3y57K344Ps
od3R1ErGMELvN9z2sCiB5JZ8sO2Hdab85N1vc+b23AdZfntFabLh6OnJWZ0EJLhq/pZUY4wc5Foq
VEusN19UfbnqSR8dxJryf27w/SFX3x4Xi8cutOLnTWNgI+dvXPxky9MZl0ybVgNbJEaFxTfXtHDb
sKZPCxxZqhXm566ee+9ppndB3K1Z5PbyOALC/jhSFOVMnJWJ2RfjgJr7RoTa/jF3xhA4M+NAbOSl
7bmPl2VT0E4n7CXoJcu2ZqbI3mau/3yY5+usXyqJCBu0kamRMY9klkqPlt1YLgz8bXfbKJ7WMxE2
JhysclCJgUbK+2uV4nMDkpcfHoMrzVAXWevHC6Q2tHjwoUVHI0xqUmMHizTyT9iPzNyxrZWUOHh6
O+DzKNnqT5Y0lGBBD+QwN83jvC7Bxrokb3vav/dSON4qbdB/vEyxPgKnZIjioEzat2hd1LMem3aa
Jhy4PdbHjVH2+dLnp//tM0tj5YXNfYMT0lxo6LLx/s9vrz9e/veT22d8fNO2+3nk9saiPkLJJC5R
spW25Gofe4rZ0xyz8sIg2WV3e3nbNEv+hk5TFHw+te0V6wdse1ajzKeyEh9HfD7/+Qar04qwqo+F
orFQlmuFpYvXlfNjf3v6c+Os98rH69uT/8/Hf/uobTdtpDhklvHt8y3b3sfn/OdH/O17/8uu8H4Z
hazO//kNf/ukfK0Zaf+XvfPYblvZ0vAToRdymDJTJCVSsmTJEyxH5FDIwNP3h6Kvaeue9u2e98BY
qIAiLBKoqr3/0OnO8rerf2v/y83/dsFvp7eb/u3Sf2yXPd/f2vueEZZ6WEAZG4c12lJ3efxvP295
9j/WXZ+L980RLmigjv4YRyl4auSjMzppy7Z9fsJuB+w4K3WtTBNfs1kN0NV4pd2uuXV8N6xssKdL
GJXWXkavZeZFnmlzwO5WfFdXyBUmGNDi7t9OZVfZJM/kQQ4kh7wVLaXjDSjLmRxOnlpysff3T5cd
5UF+DN7MH5S2TzeySk9IjL/K0y4OO3UNgkPbYrazleFiew52jzJ2Hrcp68Q5li4PbqqjB3Ftkr1k
bRP1FoneSUCRE3G/Mhscrg6yiWW4PT3JUxUyYfHw2zC6DXpnKLVkdY2pX8dS2NHEh6qK/E2C89Zq
TLUTuVF8De3hS1SZb/4Edi/TKhbimb4cqvZLkrJbrxogPV36DQX1ZQbAirRkDYqgJAbTu9EBZZZy
nQ4zrhG7uuzOcAIw8V23yZmCwB9qGaguaPS/3eX1vzGaoHrGqArX7axHA/eDw/yel8X/sa6W4jW/
Dj/j11x7veIazv6j6EECZRb9c+j/xTBY1rfbGYkrR/bkZCvv8noqa+UwJJTBr/39TjI1ugvRj9n+
fjc1nMySxEEpZzIZbfeyIbuTZ818w7e6931uzbc+t7pS2ISrbuV/GpbsB/OnvPo2xP/tY+Swt0+5
DSPrQJW/ZQmB59FjFyO3tvo8m8ozWSeLzOBnLcbZ71bfhTWbYdnleiqbYjmvymvejSiLmZwhZfO1
p7xommdMeXZtv5WvY4amshoVi8Sf1gCdKxRsnRA71tRP4aBkh3DKjsg6gwPIiE4MLcGYWu1xJGdF
Com4XhVuopLjNxD9N+1yGYfll6SzJ/D5IH+Zn5u1HToDBk2Jt4UqcKw9r9h1jbaVeqz4434yTCAj
ZXSX1J9sxQVeWGLd4Qpoaz6gDtN5BNgDnk5VQkLK4ms8zahKVhjryLh37QCCoPAJAQ3uXVIRh0kj
8UF1SN2HRf2aRspXgorRdtQIihc4vAS96qLbNgGA/lijxb4FGuLhTOosrSSEBzjnJNQe9+i8I9U/
rmsBJt0vkBjubbK+SrO0/B4uSrLJyoHU75D2m9wxd5jynX0l+pHgjIWpX4G9jG0f2SIQy+rJVWNw
gfo6ECjLTfJDxIp85doECnX1Y2YkA26W5VEdawTpRLMi9fPU9UW8t8TGQ3l2CYrXQ99NGdYmXt7L
ro8ebW1SVjb508XnLi9Qn2jBYo6KCv8O0/pj1E8QMKPPMMaNtQYaqX5qg/IsTFJJAsF8NVuXzvye
s8LtVBmQJUfMA5NITVaWSwq49SHLOBPUgguk2Z2wW8IpeqWD1ysQ6HKLT0XPrtZlv8tr0YeRExoX
3fiWdp5xh0xp95xCtXCTcHzMGvuYR6DaLR+/GrAW7XgJsuAuJiwfl8OPEsORO0VU/sIqUYyzevRq
NfJ2izTE0dbPw2jfIInNUrc6watjb8xLVahGvjFJ12aYbiB4QRoQHZOvMZKHQCF094jlwMqzSYta
HkrCoaO/dSHSM1WG5AzkOWESsy3LZquhymUGpBONJVEr1v6A1zZtxH/Lnvr90LtvBGbih64tp0v7
6j6pQ9ttgaEhs1wr3xXExURebtJQfSm8qdiSdCVSSdy1nowzGfVlkROMJHpFkBtUnzXM8e92iek8
Zr15lS/RzRCLHLZkmKf1XsSEMaM4ClfCrZxVKLqVAph75c+mC1YmdobXvAVJ+6OEOI9AbNMusuSh
Uxvyf2NtPVjagQhil3j+fWk0cJICfzl6s31V+U2xA3/Te+kmzWYMWaG2y6bV7ry6/JEL82y1vrZB
FWpL1qQii2hOUbn1krOIkUi00Jdb2jVQN1L3GYSw0gNzH0WrumCKtlN2NqYNGNoNOh6eSXvEtQtE
o2Yzjh8RVO3fmmm42DA613U0MVXqRF3mK0aiW6tQHU95AcrID0pUSdJdpE2HxnHAJ6ofQashLmMm
izomcshqf1HWqXuwNagnvgs+T22zs6eb4CZH7aDHMflLUtaQM7SvA8yCNdyRdGkFY3kecnuPO8u4
q1Ig0aULsH5I20vJU0UmJ0PUuylCsPBRdkZvD4gYRlHLbHSfp75jDq9QGS9bv9k4RqBthWV+0NtB
HEXcPFVG6O6m6S6bIjimI75fWFWQQWxZQgtMEU4kR7IwtLaDkZ6Hnu1fl5jjuiisZ7jA+aaaxl3X
k2kdsE7u2lojkgS0pCRbMcXdZxNZXcDcaKITlprIH4NWQxsRMFO1thR/21rBsNFnwCo/1GcS47gM
NIZ59AVWzt74yWAxYht1zvu0TJeKW/B2qxgggtexDsB51abYaO4BbKfYk51atFa3Gi1eCVYFOiVs
048FAHWjhyuP1U21ItR2InUK6KRrACqEJHgmEoQLVRtemwaddCvudyVf7kLvwu9own6HpHCKumln
x8OTnwvk8Epr62LwkSrC2ZQa0gKNYqAvVTQfSE7wo/CLaqEqabhtDOOJELS5miJvn0cusgTKMJ57
4qsAfpRtByR9EYZpsmkyy12UhQka0Ck3DQiADfLswEyatRDDvW/Yr0jKaUty2tC1SBgXxfS2wgLy
UTjlC0/fLFiPqETvqUT1KDWevyl6k/1oQqA2mIJDrAvkIWt9oY45OuVZ8BzxmG5b47NWoInUN6Qp
NOEQp4+mp8H3kpXTQbAYG7TFYrChGl5NSaB90FqWZY3XodX8yUv9HBNKtKYbc1amTNGWrLInA3fv
BQgq7APzBFwszADba6wn6Ild54K0eLCFQBybB4wnDTWPOBqxQXOWYrbcqjPvoI8d8u54Z6wD+9JN
iIxGJc9k76Nqkgukawfr7LbNvRiSaiUcfns9ODHUfJN90nyEpUc4FWk6n9dd08wQwBglIzRJvcbz
NsUsvW7ZJfJrCfpvDYSKNSvpfQU3rdXH+gwLAttKM74kgQVVA3WnaRxNwEehv+LBAwDiqMt+Jqub
UQy0dltMjbdsAamTHTW3Y+e/TPZYLM3Bexl1dUJcBYxz2qbLZvQ/V6116PQ8X/UA99F6sb9nVaqs
nAEiHU8KZHF2Aoug1J/yIdLgQkXVOnXIuocqmAoftZjB0zZNKJJ1rEXgOG39Tbgo7HnVbL7mUlWV
qrsbyW2xhS/eiKhl+6ljRQTbZANI+Xnoxo2tZc9ovKFWCqIbGVAHnYAUYKM3HYVrNuzW6w+4hFeL
FpO6pWeE94lb9JDFrQTMY+QvazefdS2DNYYiD9Wj2pDIIaO8cWLEOgueDScBBMuLBPGL7jMMt3UA
whyfL/9sOGnAdANNxUzUO4GqIJxU/a5PonEXtSYC5nH04mcxWYhYuXda84vZDcBcp+BOdcP5lwG8
RFcheY72fVEp6daMpkVhj0d//kuXWndP7JzNUsmbD5aeVjb9Oncrlwx59K3U8KUbTRYKNUqAKP+Y
0PKKkqyn4mH81ZXbNs5xvgNBzPuYOLq3CWsSp3kMN9G39HZtInfVhqq9DoySVKhaPNWsHISwq1XT
NGfPwFkv6Ayyn3r5gEXwCxJVh8LfDnYLUsSAIubEWJ6Bo8tE8tQm2pFOfG3GZbC0dDllwTHSuy8l
lHxThf6Wq8hPOZaDzbwvjpoePpoDgBC8ATekJL8lw4uNwtaoDz9SiCxL4Sj6Ig80nP0QqjTMxIEN
l7XrDDjQcviB5Dq4TgFMWXfMZ9fD08xQw3u/c4EEu3A/hAN2Mc9jD9EBBU+WJPf3giW0WhVHKMM5
SsZmvSvwXnSAOziKsW9DFIla9LD4xOXU4l0AFrBemcJQ98IZNhPOkzvecesM64mTjQONa4LqQ3bb
TDRSWS5/uDCNNjFaqqx8wG6Ftg34zT6IcoeFVbT3DHUV1KgI9tqh8fDXqFWxTGPsoPVEWXqo123Z
PkDQ+9QDMHuotfnVmWJlgZrjCkzi11xFRsYOyV5BBp4C9wM7tpJt3baoy+2IxA0bl+xxMEmqKXl5
Cgz1Ue8zQAJq/mRhVhDUHaqIpYr/dPiaxmgWuUOoHxVTrNVIb3dhNqwnASapCGPg2I51j+3zOEzK
Av3t1yoKPfg5wl7HSXlkHmS5Zbv8ubF4aAsPwxgWCrgdlLN2NPlzSBCaBRe5FjM7WP3UNeMnBd5x
YGA0ohnFY+a50TZtMmjfVrBrZzifqs8qlP5EyjGKp7Xa6Q+xXZ0RxWk2oaHs28SJT2Xc3VvRt8rV
7yuQ+h+N3MGB5A5cjUEanVj3FH8fJwOf2A6DMIRtwrVrTfxGkaVRHJOISWrOlp8KWDg/hK+tkfYl
XVnYEUyLKGFlctF0yLIwDu+VkjGKpiLSDedhEcPXXiApu260lEhDD2igVZND1LTB1qmmdR+MJ78K
1U0epB/Ddgq2eTUBTmb/gz5T+dwgNKqb8DQFPzBPay0SWIQ7BrgCdRJ+bsfog4oTOAiY/oeOq7zj
ddoeIOgPO3gmHA/Cox5/9KAvXqxQtMgilvPCcjDWveZMi7io25O9ivGI3AWmf1Dq4Fg23bT2WjXA
QvOUeT04ozo5ETnaRJaBit0AKz2JxJKU/D4gKrwjRv/ZKiBS9c1kLToIJ6E/4VDRfi/dEmgJdqBq
9LXTE4Djpk3QxovQoARoGqbNtznJuYElc3BHa4GUAZB8m0mhdLyvNoBvJH9Q7fROllODtLKZMdMG
jY7g4lZ4+QIWAJLxbNadB8ZvBE7ijB9AIvGtts9aMDCYDx3FUZP7Dn0B3tLREh7ynVvF61QvXgpT
/xwW/RGxusVYdOlydPNFmUTTfaFA/EhQ+tp1mAFsK4+vTNEu1axSqsaWfy4hkp2Ff4Ba7CigP6nq
h25fDWlyutZpToDGV9Fn+9tVge6H6O8MyM/MI8kGvH8+N5MzrETTrYxweqrFU52a/bnX+m3jVDr4
O2jE/ZR0i96OY24keFbKDsMRn1VsLFpn3XVw2wbyqOZsw2Sl9502BJdmPoypfwEQ6eKLfHCC3jrL
A+HIaRmPEyvRwvlZh7OMQCMm5JH/VddOcKBgAOtb4SqLwrX8h2w+tPwYSzRFeSh0XvloDwxoL5yn
+UBollT76CBYPheB2RvnuHIi+Pb1tepWX9vmx4jl752schWhn9NymFYZ9pZrWScPhu7re1TPA+Yr
uvzWAD/UYPlyq0GDi/z5SEpOfrBs8MMeR6zGgA9TlStZJRujRM3JPY9PssoC3H3vOMqqD8L4Qqyw
QAHx3GhadOnF8GOIhL/v0cNQxzg9DoNlnuXBnXiuisa2Nre6dOzyrV8b6TLB4ECBguobR0Np7xIr
sc7gFKzrtW1kk85BGmDEw2OZ527Il5rCVJis0kVxbS5XxSQ2FQpNy1KWw9LSWRkN57h2Z8+cad1N
0BQi0ZpnPKSUBys6BHPBYHtzPbC1ekM2Y7obscRRWIVgpjPkBpPDr35D0nnYk6ElJwdyUNE8oHp5
hhjR3oO6X11/UUjQI18GpsRLs/qhYPUFud4NLjryqqUfDAfZTR5sUWB56ublThZlX83FAsISvbqW
V8k6fdTTlVIkp7SFSuOpgYcYneGdgdFOd4bRfgr8yjvLeh2Bgwcb/psfuyr/j7mb34770tFDTIe4
kl3gWY1A6QDqRpd5jJqdEnj2WeD+fC7zUKy10AWCMkzOWTZoTVzv1XIWd5/7yYYgUc17JFhROkhm
lLwXNps6g2Ld4ZQAJ9U63vqGQiA3ndTONtUFlgMjDgATjMlLmVvuajDHZG04PtAhpxH+xvCIvsHF
ioDVcADF2uyJKeWLcBjU//d5+V/6vJj4mf0FRZB+rpM/QQSABm4gAt37L9wfESJzHQM/iNnL5Qoi
0Bz9v0zgBSr+Q7qHexr2RD9dXhyAAiZ+J6ZjuhaYRYvM/k+9H4smMv+0GsYVlfB/ARFgEPIHhmC+
HySALMIxmstt/5vdqMs6Ncta1fw+1c2PahiDYzhZ0X3XpunKq7TpcwQ4L+Fn/U3k88o71Az4C3W8
xwq62xZVwePbD5cgZJZvMehde5ZVPFVVV1/aaH5g0/JJHoLZrbhNM2sbEo95CkRpnlrLPeN2HM/U
JY+JOFHBHsxXkHIY71oThcRpCvBQK9NyY0QdsmsIltZpcbodnLIrIFY24UBOBVp4TWJ+dWuWZ7KP
POs6RzkCVL5V57r/UjlZuzFntk4dCu01dbR7S1Ttdy2BAqy17dtYDfmqGyz7Pg2S9C5RDeTwII8+
mSrOysLRoZ1PAOdztahg+/riZDZ+uSN6/HyrkvXycKsDK0+gGU0DWa9Edn3s24tiFHg0p6IcDvl8
qBNehbLILy3dsUv9t3qXDBz0npLdmOwtD9dyMSS0yYEit99XrPh2juxvXa9C1Gyfw+FYOFXdMUHU
9SXog2BpjgqL/dTM0NZswYCGSZcdkjFAMuP9qR9l2cEslXTvIVOfoO/v9mxSsuEkz6a+SIhP1HV8
mFtlQyMKVqdW427UmAh/lVTiLZrwP/S7DsKpF7ivJUIdmVe+4bUXbIdCW7IKHO7DIWNxOMKIYi71
lnll1gc3bs0XTS+WTl+KN4Dc+c4x8MSU3SA0XeAfG49ObOOU/etyAcAeElEQbkunJWKHA0V057ri
fC2CRDXvbV8Ri8y3UZnJVfaEpvuAgheydW3Z8YsQykqgYPHgaIVHCJYDZj2HsNVMuDP/qm/D3EeI
JbjIKnlop8l7MNOkW0W40l/HCL2AHXgwZPjcx/0Rl+3+2KlWd5wych4KEUywlH80yC63ujoiaASk
ryDAHzsH3JvCrVaLj7LUTibur/L0fTlUUprQyXUOaZo5QOVMY3XrmVfZrK0HGuBwq4zIkPgiIPuH
I9ejPMCF21YQXe6zvMU6vNSaQ5VHF+SX4m8dutlYomafjZKATFp6wfPIHAjY09EfdELibDK17ODH
fXlwomDYWgVb2EAtlf45bFq/Wvt6pkAkVhGIFaO2I/4Sna8HtqjIvGOjequazxRXWKR2Am99a4g6
Lzp/04ch/Hnt3DHD8Xwd56yI4nmxJxrhEhbyIHBC7pMHU+d7bu3QXN/qIn86erECub8dGnTS05ac
j3K9yIfytseMAojsbJjktVN+TLKtLLCvJAby22k41ngqeSWBugq6s2zp58tiQqHdwgz9ASkDzQFl
SIjBHYNMZeNzilvee+TSw/tmrrcCjXrfNRH3HSEDXvu1k/+zPcMwy8i0u7ELIVw1JopOVTo+gtuc
z6+HXi+3QT0SRBSJdq2bHN6OiV8di7lqCLIcxHiClsy/LmpC5IHeDepfByiC7gETDoOvMczPLtGE
SdVblEcoXauStt7EPZwxWUy1Oj/Pema3vrd6a8zrTaYoHZHo0SHYTt59Mjv/1Me6twwHK/vqFitF
SacvKvIGuJ5myQn0Fh2sn7PCf+5gxbhUsCv4bT3wTx5m0j32BtRDnE31DB02Lf8s09DfA/UKIvdF
g9TMd9tz2l3DH+84GJV21C20ADZOatlbkTXPiq6hcp0hvbRuSCRukXXQHlukDEYoSQ9By99c6ywk
6Ucon9XcKOtwUEWhFIjx3dRH1knL4n1mVom7z+P4SzpZSOSr1bacgs9IHCkf0k4MaE3mG1mSh77b
p3abfbgWyuiohlN0bsJe+WA1rGVxa22PsrHM0L3K86ray6KKolJto0rpIJvxkKaWcmdMo7IuUxV5
4lScgzCLv2kqhOak1Z6JcBibHI+NzahhTxYihFD2sXpmZ+Fsq9RAyKfutJOZTeXa9tX8WcvJV4WA
HHH2jPDLbvXkTsfcE2h9Zz4qLQfH1QCDQ6YivRPPxS69z6bgKEuym1unYpWWfPRYO+bjtRuyIrD9
QxhA58IlXAQVSgGgHDnPlqM+2FXQffGDRFvw65rOk6gmeEQBqtjZUHzx73tHa6ERw5xDu4TlT5PY
/8keUv/TnZIfjeN4muWAPgVz72J7/ye604n1IUPHLvjW4/2xSnE9e0SIfLoYwTqJdSJpokNCbGrE
2XbHbDP6uJka8ZB9UEuUg5y8hYMbxMMBEzN+ARPhGN4nyoG1KC4zAKxWougI0fxqkGeyTvaTxXd1
t2vfNfxT51sdK0ydgIoDFVjP12VkWqfSTJS9Rr55m3Rmd84whVsCSDBfR6d98oze/FFh01HWRvC1
DYHmzORq69iHcHOJ3Rh3faWS/5PlkCVCBveQ2uuprLUbq97qYXS8dp8vlPUYFSBMFLXpsY9tCPHw
7PcQn8sHLzZSYEOG9+oWzcOoFf73SMGAuRPlPvNs/Oe9Xr1P9ZYgW9zV+KllFJtsQq5lPkW4/yEu
7QRmAf1k1ejP3npZzDSHrQxTg/VlEIl3bAyetanIwnVdIJkHYT65sElMLmrZqNSxKkCVPrkYnZJc
XJiziHQ4RMjmOtnPVFAqzFxIgrIoDwAnlLs2Hl9vVebQZUjdGHuDP/lKJ1i541NizNoS4zkh0olM
jn2QB9MQPUD6GQM1Lx1uDfJM1tVRS8j1n5pbMg+LQQ+V1bvrGjipwGlr4zNOstXR9oLvZjpo94Pb
Wi9O6i0DI4g+kJPon8KxWCM7pTyWqkKI3EMJSGtC7YsNwsIPXP2jM2Xo9nZI+hBPUZ+YXL7KDjqW
caVl1U+eFYk93nHqpiSZ+LFq3a1Z9toXzw/ipYFVyIOduOWR2Qfrn7kh3QYEt4NJR9gYcDWokyk4
JZBpT6Ot4/CLCcG+hz1zz9I4fBJ+cyZ9pZ4IOoZPWoGXU0x6bykb5aFTqvNYaepJlm498Kfh8vmq
X2PIHiSw/OsYTRyYUF4yfS18MeWAJ3y0gORpXGjunQIrEUGi2+lwnpDP2zrwdNfCapUXvwsnkiEm
+tvkH15Uw0DQ2GU2kK12NSC66CpPYZIrj4Tkt9bcC1aJ2P59rtMBvv+GSTcdlYmOsCD+pJY2W6nP
7b/5UfphMkRKkubfE93rzgWpoEUf+/WXMgkPXVIhvpLck2SvYFEHHVYtjv7stoV518TKMUzdKVtG
GJuhE5UWGzm7uQn2eTXsz7sItIsHz7QfNxNGgQubQOb677cvXb1/m6m5fQR2TdOz0Rvlpeu+szIf
U3QZJ3vwvyl9fBJeXrwMI6CX1DVea6Ns93kfuAjaG+ZrjDz1ousEGwo2zB9EQYLQL81XFDmiXVSg
4iOLflt8S426OhuuolwcNLGvV5e5szGbMNzKsbEfu9TqyYxaHOA+RcNUw+kp6wM+X2MJB5jTa7lx
fp4llsAmwSrH+tAUrbIuSEkjgl3E3QNaRMvaCmcat8VNmO0eKeiugm6euIcIcM71EA/4P6NKRblH
Pgb9Byyku4zkl5z9THAnUdO4r/CS6s2gF8OeFFH1xDP0TXaoeLqJhSvu4zSlzp6UfbKpB69+Sy2X
rK6XfIYsnWySgVcc1C39GR4NeYkaxqfa2b8XTVyN8HVSnjLHDE5kZMOTPJOHGYCLEpnboiD0R0M0
Bdnd379+KW787utnz2uozDyGgxbzO/FjzUBhyhti+1tXu5VNlqclCWlXpyFTH8DTj4+AcDigc7sK
I4w5rLkoG1KlQb7YHq/dgrr392FARs8Gzudp6p6AYKO7F9QI/EtShR5qQ9lLh2j9xZwQxBm1Mtla
gYfHTVo4Md5hSD8mmGDjxcgVsuMUBB95YVsHeYWshyc1jyor8sB05aiyJK+Qo2ZaqC9vo4QjqLLY
EtFW9ovguAlUqAxDWHcoFSCHez2dy/JMHnrU++96m/U/SStO21kkoTIshMySfPP3b0F7Z3A/v0QI
fJmIXZvEMzDcffcSgRiXIuRo6XBxSbdGvkgeSPA/kq9L7xyUoB/koRu15CGOjHhZkBnayDrZV55V
jTNnpbxu+a5hEH2zx13v9V39OFTJfdk/vatGSDV50IP42BRjeLiNL7shgwcDOzWU66fLuuvBQPkX
1Trl+um3hlrBT1dvZpjBr/+IPMvrIDkF7G9u9bcPUzR83HJNOchGWR9hV4NVU5Vus1x0LP3h7UyS
wnMtvz+VHXx4qrP7wMzxuZ3+dlkIUxr1vveDzeVGKYEdloq3aqsB7U1cVE7yzMnIGbfDyYrbp2gI
noygco8CScmFC2hoY4XN2C30InSxFaMFRT73KIsj8alNg6zlIplpkJ4S9s+1ruFrUgePRKCGe9Rn
sCxWJvUtzbwa/Bx5fhLP+Qesxw6yns10DPLGhakdRtqbjoEG8N5XmyjVvkSaYSV7/cOoWi6m1d9/
uLo9u1H/+f5AwVxXXdvSmUN4n/05+6FkjEZmp2ffCHrwDds+4Ku21d1T0ldgkqrkIEtFrIcqPtUZ
vOsxQFto7vJbS4+sMDCMa1UzqpG6MqGhsQQ1+9Wt8zAF3rVPXcIEHmFlNqHfArvnvaXDw4o0PHW1
qXcvKO+x/oEr7zm5d5FVOWqVd6aVoPyG+NhFnw+ImVebLCZTKutkv6TBMlfF1mgr6/o0OGTMx7gV
5dYh13rrIM9uB1lnhwhy8YomxTb3c3SBE9K7Prfib82Y5447xNrupllv5d3474pygHd1omZKHMlg
/8OdYa0E8Ja/0QHdFOVYOLlylGdRVL90iaVs39UPc7dbHdaD1cIrzHlpQhz5dv27fr0ZlMuqt63V
u4aiED7yIPOodZC3K5e7Xf5WKUe0CZHtPOJoYWuZBz/pMTgi4n6YvAPorKreKA31stEdkghRQiOy
rv1uVxB9u/i+Cj/51yC3y+SYobmN/Ceiu+rR5V7WqtL0L41uvYENaL8nA469xBk+213cLQkiiK1P
5PKMqfO6sl3xyR1JfOF1zg6jFc4xrAELKaaP8hSBGrntt9OwXChA154GHRlZB7DkLo/DVZ8K/0H3
p13pgrxT6jp4KNPmLfML8RIHYDtaAXhGFtsodPZZAvj42jdrSZ63E0ysuXNf7RXniJceALm8Rblr
iKv9qNrTtrSU6KkvCGnnTup8U7232MUkNhXYpIDVnh6RoHIB5bktcWdjntHb6bHEtgEuR6XsZJ0F
hQUsqHu9QFYR7G83ZP3aVRDEePHNI/mBcfFKEI6yB5Y8/AcJcYHUEv3S9pAMRMkR2OT1jTdYw+ww
SBRo1ARbed6H8iBbb2/GW0PC3GLpxKVvVb0c5PZCvX3SrU72hmz5c3h/p4GsZ94OcAi46xuPHKGc
16/luWXU8FMLNP90q7pN/9o/rAZkv9vi4N1wt2v5E2CoI8um1of/YbFg/OlXwVrBMmzX0izD0VSH
tfu7V66iBYqDxLvxFfWQg01iGxRolHS7JHNLkK5z2YtC9OWECY42bordtdIVbnkapmrtgKt3wZAa
IfoQkw39kNiIvKTBBHFJvtxcsneOH4SJO0XOinxlKHb8IOvkwUaIbltHarmQDdbcCtAi2HYQosBP
/n2WMf5ti2WxuYJ6bKso55BZnCeh37ZYRpXWFQyT+qtZBXsdmaRjWvr6phXx96HyJnVjibo8Xk8D
72NTKs4dc4P6NVD8DwXz1osWIh7hD5Z3qD2nPrGkN4GRFPqqSkR4cFoNEdba7k7TYHgf7EzfRKHq
vgLyzXedY9p4hoXeK3jVz6Vf2+e0CNJL4AVvhPUvf/+/zjnQPydUa2ZKm8BUTU2FAv0uCKZ5iasP
upp/BTuMJDXGNo9IuS+mJLTPsgQXW9+iCawtU1zn82VmFxf4seVJtmYoEsO0mH1aPcfcJCJGg86f
/MMwAraRZ6XRg6JHskyWyHgCKZKn8mBhQWtPo3rXBxaqZqTl7oTSVYcmaVCZgcb7EEYDiwyiEB/c
UATL1isxGpq17sLaVfhcKwqOgc2BSKpykGeybjL1eN86COHNje+6yb4AxoIaryaalWoeK4q6+2CM
xDPLTgu1yygHIS6Ul2ZE0g/5iRqsJ0V0hD4ikG09yJKqr8QwNS/eoBpnxJMurEDj3d+/Ju19Gpmn
0OMHyYJIZTWva++Dlb6iqUNZWcoX4EKAP3Plk5F2+UUefGtISdDEZ27TI6wTZeopUvMduNb8gnN4
fqnaIHtILIzOFeEHS7TE7HOERXIEQoKs8merV3x4fgwI6i0nJNaSSsCJ9/YZVsR36rLElOPJeiWq
ngMtXzWJDn+jxCgpAfp7aH2YEkXcTJvUt1FXjLMQ75Wu/wy5ZJchbvvDTfttDrTws95ju4LTSPA0
xlOz6bQc843EadZdBYXEtAtgYL9SRJPgVg0NEftfdVFlP3qeZRxlimj08vaUauIfL4raRsVNgAuc
+QI5huIO7Wn+FHCdQFrLEZ3K2ydYigD50/fLUhT4UWeiPVVRdQ8GqXmUVTwU41qEGOPIotZ5KCWH
aOkUKwR47KPpV9/zpCzOvRF5l8Fwn3qeqtfKxgerRaqUp6q1X0XYnrrOi5+GLEwfqn5GtM31XTag
Dze66T73x3ERJykK30oBvHBMN3bTK6fbIVTtn0Uolc9+0hFjfwr1zgBR/6+D7pvGIW0tTyz8oDb3
KcQ0WSe7jE1mHMI61LaJSqygiov2o/61cjrjo9qI8ZQJiGqyiOzGsKmM0d6gRW58rFgSLPouD+5/
XlMEwnzUgtDehn0o8KIVaAXz3/ha26cJbOqnCNNNnAq6I9plxZM9Et5QY6xhRmtEFE4x7xzUcJ8B
P+wyci6fDLIva8UAHl60UfQaA0OQ/bNQc3g6SwxC58s9VIm4+C1HnG9HILdd/ocnUEPz4d27kqfO
seQciCKoq73ffOAnUFYZYsZfUGHGLL50bQROOYjpv/k6ryXHcSBdPxEj6M2tvHdVKtM3jLb03vPp
9yPUM+rps3tuEEwApCpUFAlk/sbHUCKRUQ2fwq7JS4qJsropbd4Tz3kgabs9NmuHotNq5J2wvGms
Xll7Q+O8t163DFt1/Bo6SbXoZNs7IGE/7LQh3XqSWl5Sw+SFBMvG8oPqIrpqPXSwU8Ab5dknBowR
nBoWRUfX5cyidFB6TzI8IxE8ptoOK25PuQC9L9/WKTyDIxGh5+U4/Znl0O0fh6LXNCvVnf8xQRzm
OTWfMOzxf+dC9dQ8Zk9nOyU8l9CNzH2r4z2vS27+ovd+sKkim5XDkMo3r0SiL8U5HjqLNazCKvMP
ogGA7x8gARewyRA5fvaJI3sa/T/7tKiL9q75+pwlplIjG1Dmap2Fn1fIPuVAMCWpQG9Ijy08yk3Q
isa0PXOnzRvuOKvKVYCoTF1Q07OzhLO3NkWiq2rTeEdhAgUjHHMvqtXx2mcjqgGq/SzK2NvoHgZL
TW4On37gY9fqFq9uHOmU/TRQatM0/jHGLLWj4IQhtXZrS/0m+kHDdMtysLytCFX2dOGYfBqhjbZz
M8PeJtqHBhSTFrX1V/TCkSBDBgd0z8ujx0+0GZ7v+c43S+McpUm+9416r/ZNyb+ARkK+GP5fF+5G
pIFhBXjyrgyVSSSfUX/ERS+Xh3wrsXBYAI8LTsBU0DPq4wybmKjB5V12ZmzR3W8d3k1Brbs/sZx6
p6ZdvndVZyzk6aTClzAv88wQYeKgSWdqGbE1FIdWyi7x0UjU4efiUMO6ep2HWL+Tw8bgUzV0myrU
hHOuccXCDqea2VKyEbWdtKXiaIBzWovCj5yk2HBFAyKBkffOIiKe96MTH/GGGF9I4Z4gOiqfnpvi
5lhL/UIHJbszJkyhr9cOKobSVkQCdSiOcHEB2piZJzsOqErY/SqSB8xFxDPXDoZ2U6vBp3juYt/t
/B4QcTL2i3HI1f1fz2fQ2Leu6fFJC4Ocd1QCztrJuquVYQvhlWpwjx0KvXWU+J96Zv6wIjn/3mfD
rrUTtD+d7ipFKEk2EYFZY+woGrswkwN+jEsZ9wHtMYANrgu5RPkIAMlvHwNS46inHDIVxFz54A4j
jZ0oBxHadTw2YBuIy8qsNhC2Lo95U9djVMT8PHDynRoxj1vsIi7VV/E5KONsofihDjxfRhlzahQW
+sC+bmZGBcoNixiPmqhcizEv87NjrrR3ETVu2r6Amf9mwPecI5ServIJuCwapwgrDH5S3rT/9jUm
0NkOMDrmebhj/NtvRda0a21/8knSWZWLiSuLp/J8gLeyEp1ispy24bYM01NkZfV2ktr/GDRnUxsJ
tS+SypemCb+J7hDewxpx8wbHama13OizkIfZ2Uxd+9WppYXor20sI6iiI+ep2PFH1PvKHGYbAn2K
x0bXzJQvmQRRNct5EKAD6IBvTYCUKU751Y0owwPf8a5gn4AtaB3c0h7XSX1osdpxJRQBpyZSTdQU
n3EvjTDnOqi47TSMDQbDXpg3+8hU672SW/G2iVVs5UMpvViOlMyrUgp+oIVq9TXusJTb5xOL9Ixw
pUllteEdFsXWW5/0VzEzUOW3sHPsu4Ex/UqKMbJysDb677U8G8ZDZOYXqxuVfRcrVrESh3ofacVM
HPZ6sM5zHNxk3Vb25sSs4T9TOWa7tTyzuBeJUi/MuAs2LZvGu+wGNVy6yITklZT3bLD5IqE4LcWo
k3S893FgXYhR5CCjbWWm+lyEVcIjTVd6aSZC1DLSQ9OyThFhyj/MglF/88YCGmoKh9JB/bVxu8qb
yS7JGtu2sDgFAxyAf34ZUU1aGq7ics+32U6yfQ8WwxxWtBJH1gk+oL/ECkh91dMarUIrH75Wtbxv
Sk36Eqn4lsia92pWvn0ZtWHJfjusIJlGn65ZJUcVFbfXTA7apdHoHoxmPd1Sgh32mcEbZkgOokEz
DljQv2GjWMkBPsjvUTEguWa/xByK5FftDSslDVGd7ClwTQ2Z73qvIxKBX51tUtBKbGktlXqz0UgY
nEWTOUmwbdP667NLHI1SCe89yJSNlCT1ItC14UuiOmeAONFrbQXFXvR7U38oS2cJw6a+LbU9SuPs
dz0cAvzBz04klLOTOJLRMz7F7fB7dJhC0SdGnRgoTIfL+odeQTVSB9k4aSYklpKS11zKq+IbZljz
MccAE3PWclWpSYvvdqG+5Jr3VR1ZAQMX3fhOXZ5wdi1P4kgl3wcX2jbn5Mr4P0k2w2IEYVDKeZ5R
8jim7zkgTob5jWC3NaRrMSD6Hlcw1ODFYom21tXqAEd6DkI3OIOvo2ZdQH8W4VB53SN0J36vKeWH
rsTeJxvLYV/nXUFGyIouY96iwaLK/Olsl2dm0zfwMCx8CJXAIN0SavfUNgpykokB+fU/oVSa3cod
SOslX1074yYuEu1VxqXws9UwVMINTwO5Hpurvqj1fRbL1d6Bh7TGqiy/AtfQ5mNhkgDHKmPNLzc+
t47+lgapvNWmSHQF0J3OsQWNxGxCVA8NSuF8LQwnflQsbWX6YsviaOemf1O6dlzXpiWjAw6210ep
MRnN5lUJWuuQyzGCQknRftZWDCW5CfpjoKI4U6v60Uns5lNFc2HVByrgkel08DtoKKfhtZDCtSjc
k6Cwd6JYLxprMlAQR2IgE2X95xwdO2EIaDAJpEZ/UfVw1cZt/R7z+9zDlvDmru7X7yFatKvOl+zH
KP9KZSK2WQcxKuPslmqJ/arDCrikBbi+EEvrTHZDoFiZe6EsGx4zk/r1FIku0aTp59Cb2lkHKHgZ
JSffRjGMhygNFoWaZFu3qKo3NTGguCaltRdhrPZf66EzTiJKXRWh4yK8iciWlp7VNy9yYgbzsMAy
PkcLo0JB4zDV6PBfnQ5FLJqg690Z3oHx8jlRDPwVNhhZgQ3L/7je8yJ/zf3frlkX1EDlrsHzELTd
uVG9YKOV+OkFJFaiZcy6GWevMFnK0ftgNuaPGqNUTceWbkYy7VwEsfRZOUY5HzXNu3XT3dp28rAf
4pzMe9YpK2WQo43bk+fuESTbGznl+JKnyBfPgNrrSfmr6A/84Hd/qsRng3XSTW2/1kngX4qetFue
9+W32ihOkMu8NwPt9I2esgerBnt4K8k/iAmSGU9Pf70/B0OoHMyxyfl9eNW3FKXtHmzaF3xd9WUZ
2tlO8ePuZiLG97i2HYY/PDXJX3qv0rZ6Y8UrjKv6T9Tm5uLaWok/DXxA+JuSbqElAag6nf6qLkYr
Pwu6GaVNZMNDsOACBS4agf8WUHFx9Bz4a95foZiMuHo0t80eo/cJYP68wF/Xe36GyoIeZN6YQ4WW
o5WRDf2mKob60y5XWdtEXypTAwIb828KFTv6QpJn3iLWSi5UG8FwoNUspiVZjUGQ0b26JgTOVJOw
VYLTte87q9wjiFJBrPwnbKe+yJaQCBDDIn5M/O8c0ZdnSKRkUQnbfTrvr8l+XQab0ggAlWUZ3osa
d4HqKK9NFX6Hj5Ue9SkqB4SfI4SwNrWEzIoU8Mry4YImuJFNmGO+HgO93sD9I+Vkw9orAtN/JJls
h8xbWAXvjwzS84RHHEqoA0+T5TGX8Xcz/J2E8wgVPkwOkI/8fTT1SXpY/NK1fA4IwjloyF4eJu3L
gwifTeYBfK+Vn8+ev2aNem/MMTHqgLmhPFNm1S2asHEDWCLgfDWUtilUaklncRk5Cwdr41eztFNw
V9JniMMMXiIjTmUZKl6SggSRlDnpZ4z1oR+55o+ht9400+veUs80lnpZqfsQG5tjExRYMSOuOevy
RNpB/QKh7U62WJopnU29/d306F6hWm4ma1OJvYsYqKWuPsvNSgRDqLsQ/QekrUna7SonnKfIYsw0
T45+ouCY+078qw38n4FsU92SInYF/jgefYpxu3LskvVod/kNaCJGr7ygv8V9zAxOYo10qXPH/EDK
Olw4qTGcGxMgudbrSyUoV77rVAtfGutvRbsSiOegsFHoS4rgZE6oPuTtt0M2Zlcd0xJolqn6DSHg
s19H7l2pA31tyDrrV/SF77rt3ioMx770lnEf5SS7WVGb3mTLZqFQ4IIpQjEgldUmgZNxEl2SlVC9
pxBYa+/slsE9KPkPJareYd5CdsEVcaU5Xr+Tx2g8szVEwDno0+96trfHqPiRtAVFakeJrrErFVv+
9GrtUDB/9eswQJaOKdVgrjWUnD+hcuDzVVjuAYdh+9Dxuls0OGB9Gm2yEZ9LQpwblTXqLTdKc1nB
Wj715vi7yYB37ROvhU7xT79j9yHJpBCEf8G2CZ+qfyY/5wwd5QL0ZFArioxr4MrhOuwL/42lHsIx
vZ9sHqFd2XPoj8VWhKMSouaMFPFOhEaEUW6LI+2eZJr/ZkyynYUSlUcxGtTuBwlp68SjNHhjG3zK
e6u5PC5EoR2NpOgmTlQ0ExWpOrk2A8Zp4uWdUMLqIjQGxEtb9DXwwA9NifvQ9B5/vt4ByXUF2WTk
Xbds+ML6puNfsgau+VWpIfnyOo6LbRaP3wEOj5tGrlCHL/ihYFpYvDUDrnBRVDk/EKubqUMGaKXQ
qlNDJvlLkBrpXIarekMUno2gBNTWdLt075C8WOfYSF3JqmNEDuB0gR+li4PqAJanAGudO0Z4E43T
xFsZJNTpEQUVeVpT2ppjHD0m2JIxrjVUWecWhs+TA4lkRP1RNK5ax5hNTPHgfLRjuBorz33LXMvf
d7iKIIwwOm+BOjgrNbXwsZtCrAfQaqgVZytGsZT5kae6fRKnGnELnZ50GYmP/KbFxmOSaefqIdci
dJumS2D9FW/SJPWWcu0tXZ2lydjp5aHLBlRFhtyCMM7TaabBqFXYFQZY0YcZrDQxlDnYIYv5mvgX
JEOuLLwYQa6KhdBZQfwdaevkKqLM8Orzf/tltYPaLvrUOO7EXM1Xq8c0MKt/XEP0i64e2aoDqap7
hvyX2AxRxVKXbUMN3VKT4L3HWlf0J3KvLs0sK7fO1P/f+aK/LbPstfTYcpiau2/aBhT5dKQmwMtV
LNuWUkSyvB+kcZPh1jF73pCGTnFj7IpJPNG92JYNxXa6ZUsX7VyStUVeSCXlle79/1zeiQG1Nn7m
leKzLvrPevK5FGyiTiH33CDEan6QNEGFCvn1jWuEztKaQj/ozuRHWQjFoYpbEqUe0a9FDjd2OfJu
k830tWWdX7Lf8FTtLvlJAMlNh12SyNJnpEpfSrc1rtBwo1PgoI0i+k2bhRxb85yEloMtVdaau052
3B23Honuf3kblWLFqA4P9cabqB2sN6SLi4aJiAT3Iw8ngZZO7ReiL7EM3KRDrDOVol0CRlEvZV8a
L2Fs5Uh+lMWar9d4IWku7ws0UlDAkfQXMeXfE3rgnGyVQyCajpy89ogij6oVXNUpikqeiVkSvoZS
N85Q498h6EfaDkVL94QvhQvNKLn0cOJ34Bx2aYwVRAu9nPVDfRwmOJ5o1GnjFRnWh9u11VZ0hdMG
zZ8ak6TWHMRnRIGGEp40uhJ+Od7gLFL8ZXaa2x8focgf6lF+RLcIT68ppViOKg9UGy096oRrFkHu
i2iAdL5rvVlAK3DclzFSxiWLd2xGp7BxWbHoufRFj5A/wK07X7G6Gi5iboYG4DwcG+lxNS2Y8s4W
ujaUWaUXfLLUl/F738mYzEkD0n6mHrS7vu6MFd5G5lYP31LwOb9kF66KY9Qfnp97Cys1f5hBhcJ/
mLC9xuKKIoZunmQlrK5lqpdXBYMz0ZWmLfvxaUbd19ZJDIppUxf6OTu4HfmGHSAQOujA9sEyM79c
BErwgiZZtmFBMwKum4AeYvgxs1DGcdFrWjX/40wxyfC8H1GHH2FPWu1WVto10fXhY5TZ6pM+alci
hC/wJebhdUGw7TFLqcmp2TWw84CN4tSwpuFmHHFmffYhvYTwd0TNIvNqHR0LfPha9MHCyeip6Kpg
7/amvxehaMbMSykroaNTZDlLYdGpxBKuo+IwAoODWep0ujizXlHfzDd1ZRab2G+rm1egplfoVou4
DG9YHckfOZYBA5Rada7dBh1/hdeT25lAC1vpC6WJ9ocaqjs3Uq4Jvu+7xEvQTmladNnigGq/nZb+
kVwdC6q2GS9ah+iNWqbavYXBgP2VfDFSWbv3RNEUibEOxo0Yk6eZ01heRspj7P89T4wpEwb63/P0
SYik9SN/XkV5Ndf6lIra4DZbUObdmtdA/pJpDk5BE5zJlCZZmRKdyXrZJIH+rQMXNRuaRL1IY5nt
u6jIlgp4mC8Fa7N81L413vQvR7KbWm4QnYCZqig6MaDgYYQXYPSl7PjRlJWv7QKj5gZFwAhRW64d
h92596TgzVdIm6idkm0UxEYOgJgiFr26gWRIYuyquP191JvZBn9Pf6NlyQT8maY8R8XR8zRfz/Ea
Tt3wxHJ91hea+eFZ6rDOo6hf94ijffQoBfqpnnzlNVUvVQVXQZPH8ytf08XkwTfzfGw7MQJpXxG+
AZwWNfLKGaT2VQqjnsw50ndiFMkW+IikI9DrcWtyYBV+K1p0M6DXvsKTJxEs6+P+eaXKAq+eTRdm
/gx6Wrkv3ag54BKnzb02lOa5CCuLf/7UtLaJe6E4fEycOiMpfEP3cVyL/mdTjCiqqBPVPi/feOxX
v8op5wCz4QdL3nbWBjjk5KblAaBt8kPVB/IerTQsR6X+FJVWf22tZLj2ccmSCKCA6BKNgQyd6lfN
WURksPvrY1Sc4JesEJCNnD+vUTo8vuOiR0aVy4om0O1hjwDpm4gSHiUnJe8ACU1UYADq1r6d6ML1
1DzDRPLeAxlfHk8wisUAuH65XukTe1jEoqkiNwJDXszFBf6+6h9xGHi3QtVtCOlGskHi014oliS/
6SowDLNW2rXr1cpbqxQF0Jve2BWjEm+HKbnuqSCV/DTIVjG6znffcsY1Bo/KAg+U+B6mhYqyUIkL
fSfH9xYN2IOZYkb7CH1YSqqT3UVUSKB3nQLvoNGJin0ZasVeHD0bCc8x5Hmm4ZBalv2YWXkNcV2j
tpg3ytKUmlcX9+BZ4tXdPajCaodhN45YUxiaRrxP1dSYFXLS3zN/ABWkY54uRq1esg9IzsZoXhnd
vQts44ikxHds2rt7SrrjFIbDmxiri1g7O0F+ESdGnqtdBs/fi7FYD4xrYUkrMZbluQV+EaWB6SoO
qoAvdYrPH39Nr/vRXeFp5CEsOA+jTWol+quYlw6IepZkRMVnW52+oMxuo0JbodHQmOnd7QZExhBI
gS2Q3Ue/fpczpzqJMTsEBqyGfXQQg/zMMWt3ynAnRiUrwIKeFfVGhEgooTmHlMlKDxXq/rm9T908
OOb/bQbUZOROOYhulNNyMtRImD6mhQr8KSQcUBwM1Goh5qA3wJyxHsdNrJbX36E4UYyLs8MmlFeu
ryfYCKHPkJudvGM5QM6JVzaQHiNGgqex+7lEMX1Ru5rDv2rq7NCzBXcqJtkBSGp5JLnYqePx2Yy9
Jx/VUI93IPy26CqBiJpmiP5oIP8ND9wp1x2+mdhVMJwqsNgx/f5nEvnzYFmVzbSgkX61Oeg2Sr4g
dTvUz7PejHHKofE9gOHtA/soWiQfUTGchpIivQWDNelx/DtHHEpSmBwsvuzMGvpzZA1YZWGDuyv0
sHoLCt7uvWN45GMIS5y5x0gOkRcm0hvUpLV2eGH1wlYjQ+2yQKqhLLKFq1Igxx4Vfb641K9ILw6r
IcAYLcQoKpyz1EkXWptlq0jnnpsnFpV2T6Zu9oiV0jn7iT0eEl3Vr+I6ds4LPNUu43S9LAzqEx4c
QM75CNEF4QqFoqj+Jboe/WOMZomvV3PxR4i+Fuuohd16zdJvlWylOJ3OqolnZDR61dkbYYvqroZH
c1mdy6kR/RISFL4ia0cxVS8wvp7xTT36ntPEWf/OFf2JPUz6g9z3TR4MX1wXQQMlkz96LEg3GDjW
qxBun+j3XHP8sMux3hhy0awcvQhmLFT8g44m/hy/DH3dJG17G/BfufnKxrdr/Sp6WKGoG/KcEkLO
jhvPwxTnVck2qq3kWe1NB8R3Udj/P0YBBEE+Ql5vLk72k+hnC5R4YTZD9IbM7bZPE/WqNXEEsRDH
eTZpL0oS2Hf/q+isArt5KVuL4gsnpD3pisys92LMZL1/dqThXYx5pGuPqooJYVMH6s1ujTdvLH+o
bta+hoVnvuTmCqVtp55zubvkuNJRn8bMuLLmNjYpGzEVBycU4coKecRpNBld5/DvdZAfFdcJI9ar
XQB1uFLUszbtjIppt5Sn2osSdtpRRJ5ckwuq+24pZWyWnMAtT9N8MYjZlPEiV8bf88nfdksx6Gpj
iSOyfsYnDtBS7CJ0aiNIbuZofOZdrt94Sek35AqMWTg42bYufeOWKqp3HvJgIwbFNF/p9UXlkY5/
nmV0Lxlktas4R821Zj1GgzF/ntQr5c12VSQJp0/ClNre2dMH69Nn/vXBIvTC8BCVwd00W+VcGmW1
kCPffUMu5ZeD4e5PX3vNJA1l0RzmsWKr42cdeA1oFQ3wEa+ZVYGX6D7KXBJrEpugDITkNbCGet5Z
tvHm5snGQxoXwd3kpZqa0kNEFi8feZ1mcfLi2Cwk1MA4iEjMsAoUix1Hr7fiLKdNwkM5ON8s3TJw
xLNQ6wWV3IDUsrotbOB8pkY+Anx2r24Tqz2DiEDrqhRt4DreUZE/xYxHF9TL6CRirJ8xxSnkvTJ1
iX483ZDLCIt+IWdNe860ii1IHBWfY6Uhiisrw66qNPe9K1/RGc8/x05GIrCtkSoPooIcZAwpJhor
HqG4fBdOnt+yqdFd/DH90c+3ok9TFBK+bIMa27tB58tuLklY0B1oMYsxMStH6AFiRnE0ulY7a1OD
9Rt+ykYdrkRfpUTaGTEJ7Wz51pWNi7p7dhVao58C5apWrAtm4vQcqDg/+GTOLxpKzY/RjIyDaCTb
IdUlDrO24BA36WGRsDuaPydVffN7OvVegxXoP6HvNdueyuwWA5HvPDd+9oj1kPccx4Pi+gG/4Kx9
gfBrUc6X3a+paa0VVZN+Ga2zkjy5+DaYqFgmdWK8DH7kLEfJMg+hVim7AD2lCVbtXZFc2IWGB07L
QF6tsj4RH7dXSmj0ayQjrU/s7AG0mca7jV/7NmwVb5lFFNkzH0mKGH08LMol7d3x0jsUQ+Oi9mn4
OlJdFd1oXYZ7yU97LJqZ5Wmus0jaRP//nqTlUTo3xhL0FsnpXPG/mb6hLvK61vg1DN7ZQ6SbIP9g
X/mpy6BqWt0wbkXhHkR3qcBLGErEvRtUcz/QLUZ7te9MCsw9Xq2B+Ti7V1XSiFbSXGI72fUUYz5J
xaDgAU5oFeeD96kN/sXtwORJPEbPpPFxTpr6UbvBrL1Xp+Sm538WI9q2Rv7hp4rJQmMMF37Wu2xd
dGUJ3hLnTBIoLTvGY6uowVyaqttlRwpoaLXwCHI2euX1shdlbtRX29Vo18ZaFMfht+ETHwxvuPgW
+yEvvYWYpsH+gfdWpmdUNJXrMBgf4rJFFiVLJJCAMk2f0iztxi0+EXPvtpZZh0tRWW9H95PKdkfu
s6p4oo7FTFx0zKUAmb9a31bDN6OVw2GmaMNLGPnaJqc2ma191fY3KZynw2hQR4ia2lnLta9Da6jb
+lS3UBj6sNuTXFUU7jzRlwXHGpvHbIoMHeMW1sPRVjIHaV/mGTpaXeK8BsWABKITH0QUafr4Omme
TEN22zX7LEvqKW0BmwiK3iErqdMHDfxFV8HIy4gz/yOxne95a0g/3MmzPqTwM6tZ6NhdOXxHZwQP
MNxu3tCOCSaAERrGct8uu6AvX0a0zpHSKpCcmMIWZjLKhZg9KApCvboGWjOFsLD0NRfVf9VuXzyg
VTzIb0HfEXRJsYg0RA7EmOTn/dHXC0iaDPpVxIxI+YFfdHSIoBSs+FyKWpFWz/OW/cVYJPo5b2Tl
AQJT++JXKg8J+gEU1SwWuAsBDlPQlU7Z9L8rZZVvNN0A89Zr5meZkXKtqq/8ivtl7EMn59H6C8XS
AV5MgQ9ki97RosLhIw2jgEVQb+1EA30DQKY4ZCKHGa4Yu2Jq/h7/Y+rzfK1u2t/ni05x+mO4rMkX
FKl6tRvyRn0etV8tGVgI+pSTMIFdoC0BUNs/B47kf1W9VJ0Vre68lgWMb5Aw8pn0OA4mMGZRYCur
vRRW/kyTzXhXJoZ7RXKqXfuOz4q5rxFKnfo62BBz7mVt1aYyieG45T6M0d9J87FYN0CeP4bS/Gqj
sHQpoTC8pIm29nlAsFvFdSoaTZDIPPfMZdOTJALF0Bxcters45ADY3DwQjAGCpAp2I8bJtz5RvbV
bAPuRrr5Hb+hnHXTXYswG1a0KqG25pbvY973M9U0oiPO7eU7qt2zws6CO5I/1sVorZvortPe2eLK
4i8wla3eece7gPK1diNGbcf4BS3XOYlB0SXCOuv2Ooz/e99348bpIhu170b5JCN2bFrXeMFP3Dta
fvUa9bY1y+Q2nEAOfLiqhDg0985SnUIwdiVu0iki81MIMUHaSS6VcASugrsW5N4JI4jPWjI+cRh4
l43BeK2qVF2BFcuWFV/Aq+ZOSFqr9OdtJRmvNsWJk56H97irnJlad/1KKrVDYyA6004IzxSBGgC+
YbQfJnwoalLedoxlfFemUTEvrIN5yQLwKqJuUNGDQBB7ZhfOFZAwvoNpbV58Kv7ct1X/XWkKthdp
8sXVQ3/J2p7ljWrLpyY3MLqZZuSoyklZ+L0mazWvbOrx7giqwyotdTE6yDZVjTXrpPFkFsHBLav0
wwqVyTkjanYGRgEfHaapHa+he2OZ7anLfWoIfBEfbWy4S1ai6lorB+yIPfIjiH7h16AAccFecBkX
3OaBCs3N0jXpFILs3OGfJa/4/Ruvqqd4M63I8ys6r+Em0STp6HTK70aOi5uBJgeKo//01yAvY72v
t0OKSa3GPfYpjdm5AeP8y02iRWnK8fc0IKNnloCdYF1Gq7Zhnyj3crc3Rz5YVhPzVueqO1MRbvlm
5eoqVI3hl+a52BJ28pdKzcq5PHjOwTBCbyZFZTOToVe/BYjo75DmGeYiLH3TXINZoUo3jaoRihx+
4hor8GnlG4XbbGEpFhr/06ipkjAy9YLkzjTKYgjecs1/QiI58TaqCvpneXQVV8obOAhZ1b0C0xle
B22ye+AcVVPxHcgz84zu7FcAXc0v197qcl39pBiczPpIye8mdJplNejpMVFI7ht+kq4H8rxXGbjk
fPCN7Gtklxs4evWvpDC2HYmWL6HvlfM0KMdrpAaQuqWk3qW5Pxx1OULV2G3UuzaVam3Iqj/NZs76
r/7FI+BHYkbyWx3HFmACJ+OOgxMfQ77FxIIVkeGAAFZDa2VUfI/A+NudlL4CGlUCBOfrco9aDfLp
I2bdlEj0qNyLRgw9Q1MNAFXZ6Jb9cU4aw6pQCkfa8PrITuXUoJAcL5SyaxcoVWYn8ktA2MSwUtnR
HyMBezpW7MwRo7Ba7g47ibrfZjbv4kdjZB6ro65eFV0MXnUa6LDxRruwUj8RzHK3jQjLMLRRIQSw
Ok2RjVFHHtNtKb5gE0xFvMxm4nDwlOlwTKt15ranx0jRusG+xS/AX4nDP+b79nkgi3J19GoVkB15
H2UtPVJTBFI2hUHtVRtN4+GAZLj3LjeqtiBpMm7EKG/qAi3vpjuKUYrqKHdJ8ouBDefLdMm+VqQ3
ccmgGeuZCMUlscxABnga9VjePC4pQtQh1oZeWBt+g/KuqslWedCxECmTg9mzTxx1ljvujK5EaV/E
z0ac9wzF0bOPBcumcuojFR4dMYF7nScQwvFTvmDnYV9suFyxmY2HZ7/e9+osicFMiBnsb+1LPKES
azKxVKj+OVUt+WpUEwchMa/f6RpFWZ7P0brzG/tYTkeKHf4+En1slX6P/jXvfxsFlGA/rpfF3tFF
zTWKVGtX4wGBcQ4U4p3t6Lo+F4e6PrLqEIePCWIuxTx15ttt9ThV9KHPzvni8I+TKJdYu1wxsPPy
rQSigFRughagbhKX3gVrCg/OhsKysgSmU6QOxcd/B4bI8k7Q5ycHC+/y7HciNGZ5XgC3J1WNa8g0
XOvqEVRxt3/Ok0I12FXB8NEbhrWtXUdeWZXc79TJMrs1dDyURDza8bAL5MzVl89xPU8ZF1NF52P+
I1Z1D88w0v2wJp1ZKJ9TDMa/4hVQLuU4rXd+EHQvqlJ/iH63zGfGMPSVCjWfZV6set41qRTpktoo
qHGz14uyMnHMLnyt2lB6lFGr6xGdHYva3IOyfMwWp7C4dM5R/ioCan+c1RnSyqHEdRR9otFisMVA
eHmqyL47a+1qSp5OLNlZV6U6SZ7I4ZeVSru2i6CmesPd1ZL6mstqcY3z6E3P8+EDzQTUCVeFn8v3
+l66Vnuv3FbjWI3a9i6wzr+PTQ3hycQbz9C0cZYzM3XVaZiZeC1CUUCWfv4PZ+fRJLfOneFfxCrm
sO3c03miRhuWwog5E0y/3g/Ruppr+bMX3qCIQHQkCZzzBszVnKMepcNzhLMQD2x2T1HsD88sdTGc
YAW+kr1KU6SnZvK+y860MjSWSAdwCalYRpi4a0ZwMcYORKNZeSdZZIIk98Lyx3bbKR52ULL+2S+P
nErsVDPVH4RIVLFtlchflTnRVS8uu4PVEatY+L4iDrLuzI3y6K82N9Wh0hOZZCFmICGim+B9XCM6
tp0TXITb/y4sB7ngIUZe/q8OCAPoXFWuuvjsIL4XXDIzj0/8X5Z/tcs5/bB4wjqJO/n8CoOt98fa
J5A8c4Mkx2fSMLG1zAKu1j+0H9lusUmDivZJJGLM3mDcZ9P9yIU99DmdbJNz/hkrm/6aXQ+Dg2ZX
zc4cJmxTtAixDssXOy/J4hImghhJ0/VFse/cZD6kLo9ylFIXRhphfV1y93F844yEl3nG4DpAQ2hc
aZ1Snu3RR4hYi3JtFStxDuh+7jVZP/SYUuA4n57AKvPp6jF6G3X+RrnZZWtZzX0M7BFvqfbghuM3
Q4s/9BnaJDsT65GrxHlhjH8lwXitNCV6A8voPdgdcoZyUDBUNberSgfdwPxc1ukSPGRzkIOH0D/V
pKNvrm2TT+M/IZubzKqRpcW8RJ6km+zllK936EOZv1eJnVwlpIE1SoOO/TsMnvT6iXQAg/5XS6G9
x0mXXAELN3e8xP8+z/11GuvL5xz9AFkMuvKDyEcwBQSaw0ONkZW9BEAPNGwuYDa2q3xKuU/kpYCu
qIj4mEFYPcqjVjZOk83mXG9Ddm7zINkfNXr7e/x9lDwhycioI3UGNPevSWT3/aTYCZOjeCjYER0S
TzTbTnjPBHiVQ2jiqXCShxEGVjCsaBy5ILlpQGoA7ed0YOwgOvI/iHyiIbGvHCKiI4siPw/ez9b1
49UcRsTvZk46ykzkf05Kyi4AARW8GwrFCDdtX+cPpjcgkAJBtdJnNGnN/vwuw3av/+nGBVTpz3+q
Q4Qm9UJqs2noHzWrNBmWfWUlh0GL22D7qeTWGuP9BWKLLMv5T/U+AwpGA3I5WQ+pc+pv2rttWcZN
FrWti1NshsDtQ+5eGKMq+8ipM347Ydxy3E1uSRXAGFF8zPX+tHncg3G1cUi8zlPJjsLBTnLUyTB+
tqmq/cVLpvYgZ5Lt3FdXDfhxaEScaWhFfFWc+v56sql2zZz0rHiU58QOhNuu1fcReyzI++VwNFru
V53vdaxQqxiTmjgRvHAfU6q1RbJrHjD6wUop4+EhmE8s5SB56AckHrXYbdafq7F6Xtl9Vv9anH12
fC7Y/u8hTdK0GMQjfT90bHwm8A2BCOqLD5wZteG5sPtrMFrDg+AxbwFMo60qnFcisOZe1pykri+5
oVUXx6t+DlYFqvpPkxwx6kYKkmQqd6OFFHHSlcoJldVogVPo+JZO0CkHjBUfhz6z12mp+Cev7bSd
qTXpg46A87FxcTEysEC6KqbVr+Isyl6mqWLT3FnuKy4f3UERKvgoEiQuME2KIBuyY1kdtDzyjrof
0Ck683enHKHrY3w09XChsjFWUyu+FnNiMY5iB2vZbi1rssDg235IjfZnNwZJDAw16relVzUwFnx7
1dipiZU7ZPMgCpWtOU7uc6fUbFpz/dBaYApJaV89jGAsK0H+kSLhaXxrke7NXKe9yNq9PfAe2Asq
RxIQ08y1a776dmQ9yBFqmqY3F/HlBalra2c6AbZsEDSAJDR1uP2cXc0QAu1zEuefbUWTKuvJSLOV
nEZOKCoxbkmr84nmN2XNxZAn7R5TzmJxfwuearA2sLVns5nGYGmjTHEK2277+Z6FbeTXgvDpf/90
/TAiIJMBmp/fthyODvv90302/fmEn+8gNl1SInFg7+4vmbPdAKjC8uHzNWPHQYEnJwP3+apdpPhr
qHC/P6GcsI7y35/w/m1FoYvU7/zp7nPrVsB6h08nR8v55SdsEE77fJP9/Amz9v773b+WvoQEjmXW
/dPJs/Eqe1ACF1TU/EXIs4ss/xrrtfXwOb1D2hGTSSVeAcOrcAnCLLOp1fJU2sJ9JFX21OiO9w75
Bo293AdgqfnVW6HlyxLzqnOhe+bam7ASaJ3iwo3Jesp1InLh5HOXiRKynqmJnZpmfJOdsqgAYxiW
N97H1x2k+ZYA6EbmQ3G+E0e3TH5+jvc04oc881lwuupKGAprvWqWac8wgWtiV3sMg0J/RPnq6A6t
corn2lg5PSbffLWyUw6zfSTrWW2H6GAyxG9D5ChcJI/nOWSht+Wwzjqn/FebnzQbz3aay/1VRtx0
mtHXF/Jl5FmtGeEKYpfZg6wO2ticATffa/KsoUXOqLIr5Ej/vN9Qx9Jo0tyrbIoRfNghJlEsP98v
muG/CjWFjTqflLZxeHL05v5OZRPa7sRBB7yiP08y3pOgE/evBLB/uVXjDBi/8XXwToaf5+dG0SCw
jkF0kUdWmkGd6utyJ6uOlaLkXukgECKzjVd/jfYSddjXsB0/J5AjZMEr+Pn4+xU+m+2kjCHj//MK
nx1pJX6/SgEJBf141kNqh0ayGmZroMyEtll0bHRLMaDUB8me5Txi1pM3HMg6u6Tb6+rseVglDGrY
3gzQBSvyOfazErrBsjPy4YvVYCymDcb4PS7aU+12/i9vIleThwNrwo6sMkszXCvxL0ULNvzhmNpH
6wTKlxArPhTCRP6iw+tZZeir3qAusTU1DPXM29W2dtg5B0fp3L2HC+V+UPjnGoUjbVhYeWn+Dy6u
8QhUq8T/VJYaS/7W6LK97BkMb2YcYSCINmKXjcd7q2N4i4EHwRpERc5P0PIr58uoaYn3K1q6ERrL
k2WVz+ls7ZYnjflYoT+0jZpyH9VaRMzUCy6qBx4EfLGCACW+b4metaepsdXHWG1eZLsbJMYqnur2
gbu7BqfSWOWlo7yDZ9U2nu7bJJI5fehPhS4Q3e3NcM+loa1lMzvEA6Zh6nN8s6bQhQZmpy3irx48
yw3LRIKQZHzTQz+Y6aFpyhaO8nw46ahWuJb20GsB9q34LUduV66nMc9ePJv0mRgwR3AdO30pFWwV
7AJ8h6x2AspVXKi/ZG1SWheFdO8kz0TzxXpEJX2JNjLP4rnAABVkSfssK31SblFub2/y3CyeXswg
Us+yxidBidgP46McmvaAAAWh+j3hA+U5Y/+551LAI9Ism4hYPYUxaNFSdXJjPUXR77Ypg8+FwnUD
UNgi7CcHxoP+T/c80BZT+eCPBXjjP+2lNQcaOjXhRjq9JritAKuu0rdOGXXk/3nyy6pREvM0YqxL
A0Bab6wBXlWriq/Q1adXTBPlIC330otRdvyPmcHVY/hMtsZKYD4ldS3S+YoPSmDuHTVujr0zuSfZ
O5H/BocUvGBr190soz3XbZq9mZobHaY2qgnHc1LRTcXGBmOxkSdZJSZlo4jYPOCwckC9398EM2NS
FrH05fEifHjS2bJHNhpgCYmOIgUzBXX9FBPWGhOh3wSuvagtR8m64BveyM5+dP0LecZ7TTbVog+W
eIdyCc2ne6S0D1prkfEaShKQCKG+KCKI2SYwE4Fgbx9DLgDB/Avnze8oOwD7iWaaON7T18SsrK3t
TzNnbkCXUOGR7Qm7mZnVGHsSjPjWONCntDmNrgnMooAu/bD9qlzg8qu+lKFNqsXUdQLZprfrUYja
e8o040lKzIbZcr80KVsz/pT9D+Jr2FDOM1V5si/7zvyWmDAVbKGaT6Il6tWmUXYy1ILMXTIEu0h1
/EvoGMXK1ZLsLbKVn5njWB/pcLvPg+nVTcFq5V1Y2OG2VafcPFQfVpgm4tI0pC8TtlbPEX4Qz12D
E1Ti5I+yKW7wVoa1AbJ67qxEVm0Kwulr2cu9MTl2JiZ0srdET/m5PXzORT5ujmol7VH2O16WrYXD
n0x5zz3RPY9dtqoQcH7DS0sDfhEZC1k1SsvZ2KGokO5umzd2Ylg5JQP0iXmwkfkbEh8ooPhZ/Qi1
6t482Fl4yIsZHT2PSguuOegjw3ZUhXXolTZdmJbSn2Z9ipXahLg329Nwkm2yAIownNK5mOLWXmHp
xJD5jB7p3hHsKj2yrqtItH52yzbZixwc6KncPqhNiq9rP/nnxg6cU1s4w3I0JvcbIbiHYPCn13LC
wKHwm2oLJzP6EpgT3hKp+02B0LzK9ck8Rp0WX3PSN9B6dedbHo9vGuYTAZmNRejjs6tHfXT9LJzW
PzUsdA6QGSt3kbhesp8UGyfzeVwaOb8HBxGqy6aanxIbHtPCJlS3qKy24fqXdXYXmyrj64msfMTu
PECZrwfKI9kB3Zj+wJM1OkvmQEsNSE+ImhOsgtGLfqi2iM6SHTD3tfPI/8d5chbTGvauVkcXdYIq
gBvrsPatxHsMrd57dBvgI659ky2jStAHmZx2Jftkm43p7eC100XWUitJdk2PclmICVy+tP3mikzv
cIrnyQpfdzcTLlKRbtmPIR4rSGhmbEyM1n7Ui8m9pQ4wF/pkS2NbytqHz75KiwbVxjiJ1wYEkJMG
Ktut8aaN46R+1Yr895Fsg2YlnsahXIKhiL56/S/DLuovTmnneweC21o2+0F08BxhkuzlboV1DFIG
WR99jSf1B5T97hYmojiPxugs5PgmN5CKKJz+jD9ydvN180O2W17psw7APznTuc48tzrKdu6tLdqZ
mdjHVhZ8iU2S8/PbUXo8tFMk2Layyruz/ry7vneHdTG/CxRmDjis/n53HUupZa/7mwYplRif4o/K
0S5EZIsvU1xYKzsZ1JPfetWhKhB77PsoeZk6IArEaYoP2ODLpB3MizD0bCVMw0fqMsAEZD76LDKh
jFu7S46eLf7dLseaqvkamG740nXmQUtt/Ys/VOiQ5Ul4qjQBPV71i7We+c7boKcXP3K1nzHeyaDi
sjcj4GP1daEcYmPqT6hTwBw1w+YdrPw+YBn9U/PLr1hzmS9qreQbtyT4bkSteu6DKZpFM/2viRKs
5VDkkHB08srmuYD9velMgVM5VPYL6lHDUtdGLuLR7BAfH31QbZPp7I3Y27HBSKRY0NuU1y22tmP6
1Sqj72XW+N+JJJwLBDo+Kh0zZ2774cLrToieFPFC2MjfwBhZQP3YmEVWf3ihesVMTXw3uuhj6kJr
p9hev1FxHnnyAe8V5RNyEcVTV1dsQEdfw2ubtm4y6wvEsV1e9MV9BHKFwdJLTcIYOMyNRfQYYgV+
KSMLFPN8BBMf7/K0iNZYxxfZOkRxjF/AO9Q6SWker+wbrSp5vPe2Pryk2G2jdeIgXkS6WzDPP6fc
2/hW76fI+UOt0NbYE7eb1O0UXKNT5eK7vX5IR4BySVDU37r4Ffyx8z2thb9EbFw78YPZJ7OEUl7P
HWL8kcFD/hbjkLoOavYBGPom11LtkVdLYuf7ZJYwMkT4peyTbhO5sbpXSkt9dOMQy6h5xNDZzwYc
zJcoN4Md+qAu4D27fhGZ9iQHIEmULRD1A3LWNPVWVyKdr4B8EVBM4HXNFwdM9k5Js3JTYwTjiCR8
RfFf36em16/dQbW+2qNYRU4+vvn1YO5cXK43sr1Wv7dDlL4L7Ny2AvjRVvMi+2uaZdZXwyWiMKSq
s61En76P6XfZl8Bx3rCtNnZYtkxvo9GsZLtmsVGNm0wn5jWErwSUd/IliO84q0iJtoadKsvaCrE6
Yy9xkEflXP1skx1mWP+PIb3pmfAphLn669wBpP0DOvY4WiLxJ4s6BqdcRaXxr7Y864sLbyLekinA
i+jP4HTuwJ/ARWfb+vlXu95CuQ2D9vRXux8U+UmA+O8Se1w2sJaXfd+/5VZT36qZueii4XP40wTr
vblhTnNvIstWE0SCFauwrQ3NUVuVOOrdgsIy1q05IHjSed6mNMzy5LHT28GKHQ5qy+9JWtzfB7ZX
HrIi7HYNKp8ny0dRp01KMhgY5K4TtJCvYdygCeDXwVOmdSjExixGY109AwMoLrVtqBtb6/xFnls+
G+v7d6GOOzQS2Jnadn6RbfLITz3rAWbQWdYMLw6QMsrC6tSQkIrSPr/c2+I6w0IwU9NVOI7qE2Tw
4KGdagCsvjlW7PXCJQDo/iZ7rbStVk6EPaisGonbH8ux+I41sfrUmLU4I7Z4TAMf1V49jsjoWslO
Vk1T6xd5Gfv33qiftqaX+I9kT4PnVhcrOcqdWL/UJut4FbYiwC+0ZkZrIk/Y+/ExrM32NTLrZTIa
yDE7RAonsxNrWRVt8hNu/Hh1sy655ew9rTYFJOqZxrq0qxbdS07KcKsqyJjs1AJ/V8e2msfaJQps
ptFJzMq2SWtFp46Hv+yTRdC39VroYb22bW1KAUKLq2nZ6jYAQbLPIz+7yEIzq2SlVjaGdkaR39ui
dspgKwUhLqA2cMZ5sGyTRzA4650qSHB+tvlK6K9Qe9EWIA9L7KrTgdzIrMGTeSJ7iCE1bVPqV85D
zq4TghuU9+Lphv8rSh94YLgfceX/0sWgvma1MgFLasJLWzTuDkX4CK1F2zz3Gvzd0iirVy0uI/Ib
VfcBltcyDO+XUcfP8XNeqyZPqNG+F23moFDXZbcqKbA0/e/t3dz5VxuxDRxXxCK1wl+VFTT62QPP
DCVDndYmwIJTMRka2Mj4A4HzEVWXcTzIo8/CsbRsqyUCFjX2bt5chKxDYD3Oh7FRP3c6GeJPozfZ
rivw9GXbffCfcbL3c/BQa9U6VU1/p8BG22K2OoI2sqM3XVMUtANVax83QfQWJtm3yPbw70Zk5M2c
s+Bp8xr4zkBoOHuSp0xVoz+QMuyXclDKDhbkF2wPorA8U0YeG1MPs8gaHOPFjk1tlSVjc0k1Pd1p
apWBXzDsYxWn6SasB+3RgSS27KGTvPeT80iQfQbys/wiabXwYbJHPsuQ0DTqJXTH9tFseIJklaYe
NbRqH3JXCXZTpU6XMszH1YiR6Wvfs0suv3DPyY6mVZICiJt+QYBLTVbAW9NjMNOkPAEVciHrsgCS
F4NwEBMejck/PXIOOVyOuZ8j67qCYmvfvY+Nmd3CWfpaG/riOOTVRTbFcxMIBOsU9+1WNsmiN3Vx
IVawkOd8tssjfdbEvrcx4j70z/xIg23vE6oZcbosaS5umBdHOV6dImXjW1MDEMvwthaBrcNUxdVD
W/QeIXgRntzGMDbg25Iruvjuio3L+FSMVkvC2KjmZ26JOZMRrFwB78xMTA2zeNw8FtmsFqLVbbKR
jbGWu9X90A1QaPaJpo0HddSBoGnsp4tANE9dn4IEN32C1ZmabVXRI4w4lOZ+zOpqn8+RyRhFxg0u
9em1VGQoWw+eTbXIlrbaVF/wEQ7RCSW02CFMCpszZ6k8bv15E7UAWLju+gqpMb9wto47LqwZ8NFV
SvTABhy/t7nqhMJfwJdQjnGada9/hgkHdKE7wJgpQuP3ML+xfUzLGOYxm2yXs9nzMHAt/x7GKsQG
JzClx6Rt662SuiT3k1F/imy7voXcwe02tKqlr0MK6FAkeKi9VH9y7FzfFYEFk38e7GJu85RD7ZmH
mmVWLDWwbjs5VFPb9EEowLVl1XRaDC+9St/1DikhZIPUpyxEWdPyrOS1DNj1iEm3v7Qxi2F+fu1b
MiElEbbaTyXvWHOlCG0Tq1i4hLniRVBv2WZgugqeZt0kWXVTlMZcNgKqeR13aDSJjNAhSYBvkMhP
RSiIW8TuLqgL9xf5uRd/iKv3MrPKpaNU5qMBSm7ToqN6suPE2IsxM3ZYMHRnOSNSPzmiXD6q2d0Q
fqsLVqc8u+bY8X3GKgO9M89odl65HGeRQhNY1F7ucf7TLuivNjJi1UOYEdqerF0ISTEuzCHHYWfM
1hn6Q6h0K0aZ3aK2LF4qUb0UvaGfR7/LX3iXBeBGi4jM3DkpBVJ3rlE/yF5HNDH6nVa3k71kPSrU
nXwbf07OJQxrbRpi3UMjzmBoKvDvRvruRurRml1XbIftSeB7X3LTnuVGI3H24gZgZqf5bM9bCGFJ
1S0aw2k/po0fKOVHnaYDABEksdSyf4fa4R19pf5dtKIZ12mRGou/Ov6q2nXDbgtypGyfogLtEA8L
wWwyvWPYEoZGfJ1Na2yxw6+i4ScrMgSZh/4XyoevGIqHX7wMnWB4Rf0lTgdr18DLgevilpeMhPAK
mW17a5ujt+Txxtc+FwKCwcHWXHTkBgN7cdlY4IqKsfSYkJm2fJ5fU7SIzMA89k3jP/tBP18oeosx
I9Ws8+p1LSwsL+bBuATY28kwkduYq6Hw0HHGDPk+lVN64hwq4kWeOrErfkTwaOnMQ+1W9EuWPtEm
ZT8BLzKYklWZsvEsDGUw3kTG7adZsW8YwgWQ5AHnhwjRAWtVJmP/oZbaU06W8Zvf2c1Cd2zvFQez
cYnnbvakCjVaIzx98DIHncBwRLM1nor9ABIH5RNNKZZt3T2w1HDBs9OrOWa6VSw3XRWJnz9lczGS
WSDTcJMtqh8cPWfaq3SdwtD2TrpWWBO+3dCnVdvPVkCEenUl++uRiHDRoVfcCP8UE5dfVubgLvJQ
fU4c2Fd2w+8+kn7a2H5eL6WykBQOimcCbFuUs3U8sFZ1avBXSfVXx+TjuYl+kTWVEDrI62c8VZur
hubwQ13k9SrIHet97IqfTmZlt9JrlDPy0CS9rZ7rCJ+HORp5I5vcfM9C8dPiO3vn4SLwvgQWEBsi
WqLYfMVtvj8XkJjWkeuCJPYcLDO1vtnXAXRrH73JEbcgDIbU6cjV8lWbuEHiA4LjXdsFG9sDYYne
W/TT44cxakXbJVqs7AgAfh9rhM0zEwHyCj3031wWFCJzvXTezNH0t1id5Fu7KsUttMtT6o86NmQG
W/86+6G2KLsQdA6vTlzdeiWM98MQ2QdEvFGEnAsrvQTlt6IK22AR9PBFi6j71esb1VC3Q1R5X8LC
79etodYHlw3EJeAtLmPBIstAwWGD67Z5qScRLHtikbCFqhilaC9MFq1IHGif6sXQxPRNmy1WEU/J
F75Tlvyjxk2hum8hWrvfXTdCWaWHcMYDJd7aNcoovmr1b54NXKs2w+5HYI3bOqhI3AnjuctND5ae
cgvsfNeaiC2MDqIjY6Iv2xaT6T4L3W2CJvmhGJphZ7vKgz8V+VobvcOUNt1CJehBIEYMmy4y7E3h
iy+hk7c4vLvRosnH6Du6TFfXqpyPkosHKWc8YJFB33hK2z4g/frgwW8+M2A2M4ehcM5HcOkJMJAh
COObLBAo0w5Kgir93JQoCrJimWutye1op94ZtZPal18Gt7xWdk40vqifoY+nF4Sd1ZdC0RDw0pyz
HpfNabTqax8D5SmzOD5E3kesivyoIjrhxcO4DxwUUID3F+ZROfsCpmJoZ+89qIwt2HSkmeaqMtqX
ObL1aOtdfxZ2C3FdAdRmKnG0qlURHnRPnLRWuGjWz4jDGZgYehyxRPiZlCEYqRH5AtkuC8hY4Onl
EFn3wuYri/581fnjy4Cb0qVK45dWK5ozgVaupKknw9c33avq5vECkkW2raPup0sm5IZNsHEaBgdq
oxlGS1YbxZGjm+xENL6/dYMDXHlKvhPWZ0SvWePei5Jyca9HujMsxkZPAdXl3boc3Oq1MmKxxgaz
3Mqqbdg8fjwNfdlggv/mleOyb6GBEmUz8sP90GHXevBNmH7LGVRxSALzkVSwsgx7bBdD7yFvxms1
xtbFzUC19u3a9Iyf7OuqhRq333vT6q5Tm5F2KpD5rKP3qeY6jBV9OYq4+dWbT73roPKThN6xIs20
QIWqWw0J5BkRY0UeKcLfYY1HwInL+Zqh5HnN5yPS0NdMTytInDTJzq6AKNX33CtlVdXN7Kxo9fcE
VE+B09lznagdzyBkoWTViYLpNLoEy3jOPYP57B8zUSyhQdjPZaFmiwiYAInz4d9uctNcTRODp25o
f/tPZnJyhOzweDzsjZFX/+NZ56CUPUbpr8ov3YehQvvRFfjbwLrJdpEJwwp+JszkGm0yttzjxiiN
6jK5tQPZUhXEcIKr11bFrmCpfshd8nIhl/+OZwjJuQIpBQQPpwuizMXajyL1UUyJg8tQrz6X6a2u
WYDOdr23rovjXWfiCB8HXnsZozn54qX1u+7nJ7XiSk/SAbd14ExEuYyl7WC5bgjL3Al/UndgpXEy
L/R0rVlOtddsZgPcPT8y+orMNOtSWMtrXa3tD7fMnrQRm6CmUFVsa5R1b8XlL3Z555B74XvQ8Q77
MCmQaIrErh7bs8ultE10t98OljteVccNVmhA628qCUrdzuJfuX0ikwV0nIv5ag+t8+6E6JxWndY8
kmASmyptC7AuNdhowlisuZpr0ZhimTdO8r0qhmVY1OmHGtaYIORR+mIDDdx0SJ8cpslApcUCyxt6
vUZOfzzprek+u56nccveEOWqvkWhBb3TVasH3+wd8IT9hxYk3ChdByi+1dgA4UV8QIo4XhO5Gc+Z
Z5eLzrK+x1oZPENFHHcawqlbRE+9F/boSEXmwQ9kLAAQ5tn4OGZmD+2nVjd13ok3dFEf5IjIbidY
a8Tn9L4ptmJodqoTpHs0Iey9Rv7hyG+ZkPpr7QvSE94qQsh/LQaC7qMejcecsO9iiDz/2TJNwkH1
8DBjT3oDheBqAC04tOkpAqgHo6Zu17WFTXXAd7mycfzc83BRXkU8hQu3c0l/z72NcHGcscxnVZ21
SP2CRVHLg7QGUmGYXb8Xguj15Gr5u5c6Hz1I02vlxea1MMKfmLXnEKC9RQmOegmPD4UFT7X3mEiN
26FL8sdAnyPXhWh+2IhnZZHQPtjlfFRq5LxUSD+tNS15d8e6XJH39K7ZXIBZRkmV3NHOtxVdQd+j
0VZTDWYp9GvvKgd6ng00PyaJ/dlWKoNN9JcbyzyLHJYSV7q697nvk6U25jriMnQ9wWYlCNduUeYn
JWgwIJhShJ86Iz2CuvjqAJg8RYa1LsLmCQnqaKlP+nFqvIOZEcd1PFc7lZi6L6cx1FZW2w47L230
PT4k46Wci2iXj4RcQBlEuzLwopVpC/3NHtHTr4fhF2S4KezZsSNr9VITb180rVesewSSuF2mwfRA
BmEZmoqFUVRp7NQREFta2RqxmsDZ+YmSL/nLc71q6ZfQ05GBcTGBMdRyPE6QVZeZQTo6to1h1VsJ
EXp1dKDUCdEtklY8IRaU7WTbZwEr7J8hjav3697pjQWrkZNJquDNbXrCMI4Zvc5qlKsus4xr4oXe
JoSc7WfWlozUdIRglO8CC8ebXq9Q/InaU18b2ROKCqyrcdkDe2UOe9mmZUBfUJcFDqq4V7YCzoem
E4aaZjsy9zEwWCXjNvFNVZTxITSL6QE8Nt+OTwYjgtR/FGCPWAgmX5SGtEMPCXfdIcC8y6rBvakY
mqqO3rHpwWke3iux0og9ThiJZRpk0RHMcL6PJgIWLjCPVeVM+soIPR9xl/4xIBruWTYp/ClW7FML
QtGHr3ZTiqC4sZae2c7YRkw2q6YA9O6LjREA5oYhi7y0rV9w+SKInpjP/H9sMDpLFN7zqytmJ2Xx
4kBGvhL5zO5FRV56VaEQth7nUbIjrhr/3JY/ZAVrV3VNwjRZOU49XVGY8haG1g5kWYzpem9TLXur
p64J/pUhsoPdgnmxgEjOLWUfJ0vVwsC9VUR9HDynOgqR/j5KkVpAoRsZRkSvASnLMfdD7kT8r1K1
26Q8CU+1hZ+xolrlNtM8H1YlBX8Dby9ah/h9Pp2s2uYBkMW3tlISLn9ui6xgHTxwUejG2AQKSW05
N9nWugWBxgbZ0tjV2SY1Pkk6orqg/raTmuerohrPAjmgq4qywdLww+AW8q63hOZSsoU9qvnBdHUB
Ex256JpeW6EraPKY9s2DV+rZto3N9y7sklPY/SQIXp9TMZYbz/VRi4lwIGp8RDflEZrKyOTIw8+i
dc5DNYyETrEfGWzVxmjCQa9aSd99VFG+WthbLCxTaV+532vLNvaDp8qtcWqLa/9iq/wpogTRnig5
2AI3Yl1YPFrmqix6RD1gQXrFUCxklz4Qt877ldKn+tVoHiMpzqTaKfY8fMF37SaVcNweVhjpiwlS
CbtefQ71YeAmBZZkUYUay4LQFhstUI27gFPdCuxXBx19oVnCSY7r8bVCL9o+JgU6AmUcpCvhaOZD
G8HX9wBzPWuh3TyynV6oQ1Y8o/y4Biap3OaFui8a7c1IvepYZ5F/r1plli3jsY83CLjgsZJ3g7LG
rlXZpsB0Hxuz+AF1AozYf7F2Xs1xI0uU/kWIgDev7R3ZtDLzgpDmauC9x6/fr6olgsMdXRO7eqio
yswqtMgmgKo8eU4+DCf+1qLVQKbq0SoS8HJeOu8tzwdwVSufQrStnoYpW5td3bwE01S/FJn7UEIm
fF8GSv3iGYO17qep4w7L0HU1f0+KIt74rX9vFeVw15eTf58jLw8/Z/w5yOL6GKlhSeFGkHy2E84m
OYeMDtKbUEcNRp5UmfT6CsJVeaI8q66pPvH8OEjz6PT5JQ0LkE1sNAFIziHkDWQwLaNJN9RD2K9W
mkDgrcMdTkWV/Zo1nH0DNFM3rhhak6rty4LHu5I41mtGlRKQUC3dyrm61wd7GL677W1uB3KYp70B
wy/BvOE1u2L2A3jSWCrpxwjSduq/5FBHpHILM7+6k8H5ACbdhHb05lWDJOfoJiz3t7nj6G8g/FH3
MtigmGJTh65/86Z2020cyuwPMliNBkBPvUjDyuvOobI22zbZgxs9WI7XX/tgcnZZNJcXNzkXnNC9
oPbVa+rwIippXrJ6/ER+zrsrYBY4wPAAu74xDteuTY+UtHtnx1BgY5G2VvtWzVRm3Uy9MST3JkgF
Xy31COrS3DyTHTm5gztcZXxeR+mG/XOEYDvqJk4+8IoXkSdW4xTZOnIXmTb+mZdW/60sQx1hdMO6
UpceHyJ4o1rSYQ+dlbx2KlJhtpfrJ87U+3XsjcHnmqPjnQHPwU56tQbZj7ZKURcR3sIE0tcU/UMQ
ucan7ltTZcFBDwtIyweO7eLMrjeNUtV70Mw8t9xgnk4eMhXWNracX91UdE0tq/T1u4B3XTPTyl0i
qr0C6wlx2+CTzX+PouVpo0AD9Mng2/bopwgRiZFiDeY1DqYnOYrnvLivQOfJERgr62Kg0LOKBL36
XEPy5I4jfOdiVQQ6jZ1g19rEtmJcJ1/92ZjK0VEoCFzMvPCXp9QHTCmCFntqwrkYTpG9/uAoglhd
VX427ZdgGcJ5BHsdG675t8v5PRtGq9a0V4QJdtR3T1/d2fY3c+sNl0nL1TtV57ir0wEOxuyRwwmy
iUgoCsmmErJCspcaluDBQBh2dlAUkjbtrZcWIsncI0/7wSGDpRfWXkQ/xMpyGpq/ATwKEFlsZ0DU
t1UbzpaBPZGU6lYgmTfJNOenool+NtQG5idOvvOT7C2OJW5xfIj7L0KW5YGbQXgv11/myeESs1zp
vwj5sNQy97ef8rdXWz7BEvJh+SZQfn38315pWWYJ+bDMEvK//Tx+u8y/v5KcJn8eWj+h7xhGT9K0
fIxl+NtL/DZkcXz4kf/vSy3/jQ9L/dMn/RDyT1f7YPv/+El/u9S//6RuENa8HRoFor0Tr3aR+DOU
zb8Zv3MlTcisnBzhbdZt3JlJ8X58m/Bu2j9eQRrlUrdV/lP8ctXlU6sDKjTbxfN+pf+03n+6PpsZ
tt6DGfN2vlzxturHn8N76//rdW9XfP8/kVdvp/nBqoZ+t/xvl0/1wbYMP37Q306RjncffVlCelLx
K/9gk47/wvZfhPzvS7leDXVubXybFCs6d0ovGBIBm53Tt0Z6kmmqTrrxIM3SInuNnLDE2n4dn6W7
JoF09FJk2YwheCqMzlwHjUVtVWspj0WUQqDWji/sgiGyFaO0pJKwB98i/HLOHJn2iez7X9Iv7T48
Ubu5hhFL2mTTjLBl2CYgsBay/Qt00VdIPdJr5SrpcXA9BJ8H6nxdO7k1MFSmd2UOA6mIMpIEJTnp
jRwFOFugXm426dYT80cPgIqTsw5qGblUGY7UOZe6ur0F+rBKbhorcuFJtqgvKWYkdtjZg8NETHUX
Jmi5uvDdWNTPD9XV5NCAvH1MdY8YTpFTXSstra6a1hn7wKyArsvZvdFMB78C2fButjN6AJPz7ivk
gqwoJzZ2iSyR1T4ua8mlw8FoONQMzrf1oqzqLnGeQsv765IyLB+H8U7nxeIWZs5s0Rz94Kn1SBEz
ekGBUKi/idVDj0yJ+jvh+k6l/mqehr3F7+0MKDe4hI3QspeC99Iopy/uCpyIp3jmKRs6UBVuWVF0
msP0UTjHsnLC28DTIg80jLCXwHEhuOLw6jZDGpdpijMna5Ie7fbdnFtkM9XbIc3y88eJszaFxy5W
Hj+sJYdWYd9x0m0dtcZCqz5FaG1Wh+A+6rLgXvYAewXottbB3gcyS14b7+KQcYM3J3czlaUidJl5
W8jon1w3STk3jcyTbGaOzk4oI5sn2UMwbTpmSraSzuwtTA590wxyCk6YUVAcjdissuo9FXgZamMh
xGNdpd/3iqLdS2uPmNwWTK2xlo6bV4TL3jCrHHnrwUXGLhFknOydUkLpAV7jZ+ziTbTwGZEhnQPb
vzmNuTAPpu5+W+w2eEIdPq28IMvjq3vpWS7moWEIqm6AwkR86rfPdRvmlOpRauhu5YewnEDnJ1Jn
MGy5/kk2VlGgWH9rF+uQ2FgLakI4LRSxGcgWhK8nlO/mdFDeLWBWJQcG6ZAqtwVvk94tWI9wvSow
NGx0mNHPpmjiuOzOcih7S/PBRp0etLFsxNaL439aYJl2u4Y+ersCarucjU89XjK2iCgg69lDqIb5
Q2zl7K5iBCWkg/O2BA1qRGoLONLhpXVPlALM8BmJMdjTn0bHCl8QWlB30g56zDstM5bYWgpbymXk
3CXmw7AMRqoxvPY4q8lXpcvJZJQWTG5mnDxHANSOrsOhgco37HPVGwcZQQGXx57bCx8cAWPPC6rr
SjutgVQ5UPgLOEkv4CTdBKinnEub1KPoSmMrPLK3xMgpzbhzRuSbllBp/qdhJCEqy0qpOt/7fTs9
zp71YLbZ8FKx4T6Vpl5vpzrNvwWmRUoJgBVHZxMkbyIFpSb+l8oCuJpU0K/FbeuvlHY6SrCxRCHL
pm1cf21ZXrZdbBK2nFNVt83Ab62l4wZP9j0/3hsuX/13oOeg7ZMjzIvfb4EdVdxNBGMuAlf+yas8
78TO1cxXsisbuNgtIAQNmvY3a00V9Fjp1s5YIiE79ZHhFDHkjZCJFY2c7lZtBMCSY4HSbkYYQ3MI
1dU5aJHNiZr7uoT3WfZkU04Z1ba5CarDb346krdeGgBygMnZ3Mtg1TCQg05COFFbp7mOefop9j0H
8uEUyKmSTuiG/LLFpLKu0hGK3u/s2Zh/St/WSPoXji3LS+uVyR3c/8ldVzubxuPoE1KvnybpnKth
Bk/SaOUREtqLOrvTsJIxzQCCmrwnyvC5l1AfKNbK+raJ9rKbdtYPN9KL/TubvFT8Vwkv+EX2FY5M
x9HIILozvVMmmtHWYKRcxrKHTjC6JHZz+GhXeu/0T7bRCv2TgugTmu4i5raqtMqxnCObfqL0ZC09
VTWpB7LKvWVrD6YZlp9azptDFSC7nYbmK6cerd2Vn4IgV1FQH8D1q8UnDQn5qzXYz3JGXLrpXV3y
0lianNbaHTcWk5Lrc5iH/ln2sqH8YwpceydHw1T556ABkszD/VdI/NZbbAMwU9RwfNQnhHdx3CbL
deSKHy7XUq2zydtMcOL/bd4S/HNupKJC4UQ7NYyKfTWbwaOi1rDQV176hdO7r9Zoan8hru1ZJqlf
N4ifUydpv3p9Qkon7sOnMHa5Z1qxcrZbOz1/WKeD9OscDjV8N3yJL5raOMdBKTl/gnZg1SKec4mQ
l5juOlgBd30M9BIsgl1/jhPF26awda0cDspJmGbJFt6x7tKJhmTd+2axyRBN1bZJ7SrHxS4nLEMZ
Jm15adiHOfHQavvbklY5v7/CMt+ISUe0WfbgWxaFUCniDg6s5Hs5TNUyu/ey9B6AbVKuuxw1iyBE
bSs0Wni+RhS4NCMaV5BqDSTO/9YU6PWi92rB7b2SrnjQ4LGW3TLIUIGtOFZ7Z/Srwt4aQwzKzWu6
XaQlmig5CJ9l05kQSKB1/yhHQQUBzhIxiLCBiMiZf0Xw1gT+UUPeW6vyZkPaMbirJUlS1aa8tvvF
uJVGqDPDu0kSIqUiSBp/H7PMWWIaQbskHXFsBAcVrB4MQqXxCldI4mvla9+gRPdr8MtTKZWyy6mO
ohhG3PeMoNjGUDms5W1wuSsWE8y4oXAsttt9VDjMyecgXdxWZbMstTiWactSS3CBYBPntVnOfb2d
n6n1H1cuGffTnKAXo2dOQK6VkqLU8btq3cBVEnb60yicEGO4604DmS1jR8W2zlEj9G4Lo69Iq0Rn
t9ajq/RGJb+RPIPGXA4dMvP3ZjCeEQ5Sn+tp21Mf04CkA7Ig5M7dwtj4nR0ec4QuLpkDCxd7ojLZ
yC7E4lOzcguQnZSh1rt2ysdmVRnqz9Cbf5kqe0MkOBgm9ipyyCk71UwjILxEKZ5cqo3v/dbQXiaS
nmsjccwjqCntJawdF7b7wEdxuoQqTDWHtS2yrxaSr0fLqP6sZtVluypsYBoDQGBdfZxFHlY2ZqCZ
x6ht/5SjTuRsZWxE6c4/xoo1l+myJ9fVCqU+wtKVnsdkqKhf531K4+dwNWsAM9LWa1Rrtp7v7eeq
UO5L6nS3U9ujNjcG5XpsMu00yyZtADgVQk5wJQ3vXMJfwPVxCrL+Z0+GvIs2kuhLXqj1AfROfdJV
iCXf1Aal5KAcFlFxJi0SnqWplaqETUbqzFZzQcH/S59QBtc2lXPKqAM9RrLw3YxRK8+W7QTn2wLS
s6wy59Bdb94+xtQ3JMrnIF1bUfmDVGr5TAaqelaU9A9y/f3FFCNNtcYDkEmkrEREWenVcxF1G6jP
5wcZr1UzQsQjJVLSqVh286i3HN2L6XKS76cagCO0vm8XcNPsLsstavuNslwPHJWs7MQrzjIYFMF8
1CcqheT1UYhQj5NLWhLiaqc3PndNbdw5CvBYOXQCSJXnlqocOaw8p1mpZuLc5YGifv45p+81407J
4Bn3K8/4vMzhJTZ+0HXU/kI4LSMn/Z6BwbkWoiGFqV1DPbO2o1AvXWzSkZkFOgkJKj9yKBsZEprR
8wg68bSYZI+a0dHmcGZZh9yhe/JzKH/fLneL1Kk190cPrKv4CLIZHRMG9TzcD77Sni32niVsA3p7
1sf6YA/BdHC1toWeFlOq2wZVK3Isu9J6myOn2w1JRKC4VbMNZ/DPXVv8w4RCpeYziZSD1rGFkE3a
Bz6oKzFuVEW/GSl3+eleAj/YZjGjszvv52TpNo1U32vg8j8ubaWem6Ht+bdlS0pfDsYEfyO8IOkm
QXHmi9Z5A09aE5FOOyi+aO4rpMjOJ4jO6rsmRjLQGdP8S+5P5dYNKC9niw3Rc62unELVNp5A5iMF
nZ8tgdyUPWmbAaIDKxYe2RRvPTmEJg23Z6XQ8gziwVsMR5V35gu81N2DFmb9g65Z/mYYULxZbLZa
BXdN6e+laaDoEpZZQelqTO54lEbZxBBD7G0AHYLnuntYGvs5bv3iAXSmw1bRooizaGoPwD0XrGJb
vcss0GyUmG5i6DUPJdnqT13DT6iJLSSHhRIz9b9UV/tdezbFcGhBsFIh7F+k13bDb8PkTfdyKgjY
a1br1YP0uWa570w7fZK+SGlXIHDSF83TvNcB+WEYXjxbeYlgynsAsNmcCx9EqhhlUBvcep2XIkKg
9c1ROkYrqB+82u0OMGnxPiKCF0cXKkdVMzsELwiTseDYgl0XAExZYuXqiMhVSRjeZt98YQ0cQzG0
rRIE/s4bQngI0qC4yka1kIaaWwR05RBB45+OpmygplHVYLcE58KL5MSwCZMS6rm3VZJRK65BqHvb
oSsRCHpzyBnWwKldrDiQMZnKzoZp+8h17GOuoRojeClVoaWHLBdawZLWchkvboQLIbyU46ltq0Nj
UrwcJvO+IP8Py1PQP/iGzvdN9IzkLkYD8EpO+acl9otBnPrwC5IBwtGXbU0FA2BSTou3vpJSpx97
8ARCQHscvNZ5mERDVS4qwDWnY6kWOQ9hZjkPluY7+3ZMnNViMzVFu1DhdJYmOVXGQmOzanM9BKPI
atKpBUF0u8xiWy7j9VQc93DTnL3Q6Y8UZlOcnpbzZ5tX7k1mdpxHiqELGxVl++bj2CvNc2I6+0DV
Z7AmfXBOQZiuIzk0nWSbdkFzkN6oGr/FvkjVg855rfj2yii4VSC+Z0OIaAVLV42W76DliPZyOMcV
KEot9O7kUKtBfCr559wIu3ueVOltEvosMA/D1LCVUaVhKau6Bs8vh7kDYaeO4LZZ8bW1ywKlBeiA
jk3p5HtuusYzyQbu5BAJ/Cuyod+GEP87HIHj2kHq+/oh1oQnAC0WYvMUlXdeHzcU73qbVp2Ncy8a
2ZNNhBTV2alCv4IDHY8C3GrVG0kL4SbDpG6eDK+NPw9J68UvZd61n0u1+6F10c51quqxHFT9hbJ0
4JF1w5tiFBovI2iPTWAN/l56I5P9PqolBgAMgieUv8+JD0wqEcE1Z4gPlICfpFPOj6s/U5fdkLSE
Zfw1qBUYrkW0UkLsP0Msr1qWukn5U3uSDcVXqhU+DVZfPlHMOXOWpEJ2OftJunZTtqu5aUKM+hbf
9sXeCC3rXnf0H36GINk4aOl1KLhT8joJOz5oxGsnGukY89w+BmP22trVL5OYkOdueVfb8foW39nB
KQ7nu05SlAryedlbmvYfbFNm/ae4ZVoc8/0vlHbcmGmQgJX2YdyZTCqGRc2p3oQ6jEE0steX5ElW
cvzBDRY0OoSRf5H22wpyyoe4xfYupoSrY8ffww9NrXReMrjwuystU2Tv46fJTc6GRl7rVr8NlCsu
a8s4I1SsbcVdBaZuNALWgwurNN/apNxZgltajqE2iQAPA2hcbMNooGH0biwmdtIo5yxN7TrxqSwH
5RHgoPXcN/mfSmENFzniyFXfsTezNj3fm2eEQw5RUoyXvHM1VHKo1JjsWEffNNev0iabPrcguXT1
YiuHpTKD3a36+ciZLd//rg4/gYaOqFDTOrQCi3xnelN3lySNR51KFJwUwfzKohxcAxAK5zoAgx6E
V9mzdJ42hdbBjvx3BypjnB771mdpt+cshoZChGjpX81AIkmukRVuCDnEqHObU2wUZKkNvS0sY+uJ
hIH/Z4owyTlr0+LsjPFjZFrZPn4zSXtl12G5+tgdqWjHyg/6Nlv63wW9rSZtv1+y9L1fq7dlsAfk
5G61wcvvmjTqIVqg0qCkxmQV2X34IwfmSRHRX/xmvhhwY32etaLd+JqbXosCJkHI/fTDZFfa1eYd
bWP3XbmmdN8j+dDOl9AEnr2rQ0qJnMYZN++MsisbIwCg3reGD1wLzDbYbn2+LO4Jivtu1fn8mNBN
/rY4Iuhh0VhD81LNiieettyOoSOVIyolzHNTzF/lSDZDaYovzVBv9WYqnqRNjSCCqWeXP25MPqLZ
pGqjrfSZwgT9ib6fFaNbL7Ysa93V1ANWXxYak+++hnb5bVXKwU6UycUruYa05R7csn46xjtp4+Uo
Wld61B7gGbkW5YTEBzJLT71nj3fwZt7FYkSZfPU0wcK/gzRt3sihbDjD/wFQPuZ0krC0sbyrT8Zb
TpKmlmrrPcwG/bqGGJo64XECSeYjzTiW+jUFHW+Wc3TfipG066Ftnnl3OMmRq84mKEV9qvYOklsr
abw1japffR2pMKODaU7awkE17s0pXjVZHW9tT6nuo9IiOws17yF1NOOe/7cL4NnRXnubBIram+G/
plJbZ5ChUMzdm6fcjIpvYUXhqgsrFWRHirJN5sq5mDCUnLxGNfcOhyIPPfWQGyhY1M9WEX0nw1X/
5cR7FDWCHfeZeu9QPffQebq9LqoAm9113qrg3fzStd5Jem0lgfE+nfiKozVqH1SwkMcUiZuNodf2
hbL5H1AqhBRQaEh6C9PSLDYbjvZDoXbUmxMh7co4lT1c1r+mUbv5/7LcP11V2sQnZN+lbwOQ8rVI
X7ai6UTmVTYUG21iAL+XxSQjAn3Sdp2u8gsVsdIm58shhaBP4N2toxwt61Ilk8MFsi8olzp1wMqF
zHL2UvUpxaLOH1DZe9eGDNvU5NWh0NXoPh9aqn8tw37kNAjlKc+HXAkd0hWyGNYfo9U9DwnfYGVs
1tZAjpNd/vnGr/qOalV2Jy/Tt3VlUiojmFV1w6KRPdHIkFmws3bi1Dqas79mvZyu3NGguR7D/jvF
KqeKssrPAeRGe+rL+0MV+TEyNup3i+/YIXcd6HcKp/g0UoC099x52sphM7b9FqGmfC+H/jzEG9Uy
4qMcerogv0Lo4jxxq/wUwGRFuRHUW5WqKnfoP4NrzqFfq1RXfx21/OewFuetcuglng8VWf/TK4fZ
Q2lup0D90c+zB/OrraI6lJpgfds8AR09sIOxNRRL+M9sMqVX7+RINlmYCSIL/Uc8GHm2HZ2jbnPQ
z7GBQTmMatx64mWdwphqIAlEoZl0mHpu3rz8qZmUKInotLb0bakPcM++ub3KMsqNXPG2LJW1qyn3
lW2LVMy6T/viZCUZOoHIxW5m8OffVQsSBt37Q5kHaztrYXTqajd/NhLjOyKe2b4MAnA6XVDcycb1
x/YyuFc5mJqq6jaL01ACbW3VSCyNXTUcIDT85OcVxYRera883VHuWyHnQTYguOYpbEuWZryzl1Ue
mKvBhXwyajvODQiTs2Cg7Y9zj9Il6Yv4a6fDUWlb7rd2CHjQJSU88T11Gd3Q9nBGFN43aIK+aWVf
P5vGlJx4VdK2UDwP3xJej1PD+2ZyUkemtlTBwurakzm7P+Q89gE8vik7eRypeCQf0Zk8dyPrRkmm
js+mZmt/UFGKdicQkaPcOsomYysUOiWPKbGblE1UUfapthUC4bnjwjRczs5d6dkbuQl1YyHXlgdr
zW/Va5PE6rVo/K91FGhHOZKNdMaJvxqojbtb7Iaum5euNOYKqUq18T7ZszHf2X40rXoVUcEZkrmt
p4/uXg4zxXpF1XmNGiuaGIK2xtTikJ+aHl5kL5nDrFnJbhC4SbNaXKrbsmmpNZDhTHkX+LOL7N/K
bG0PNsd5vMSiCTiFyTe1MXxxCrvbSwfqWz7SJ1Hx2TZzKg7LOmz4XQ+gh2Q3FLQ7sRC1EA+cy60R
TD638S2oI+WmofUFIZbATEtUdAOfm8b2M3TQGIWXWuGoGD3XWT+0QrunAS7PUz02Dm2m669q7//0
Qn0Xn6YBZTjeE9wVtXTB99lJ9nVsmn/BsH9s4o5DPkga2D76R7txigd5kJ/q1bxSgzw8y2GgheG2
UqEmcxPntRln9JGS+Q/bd8td2o4cPnpO/UXYi0qf/qBkFlpWvsKkd9YVCKlToY7RF9NNIDP2mpdu
ggUyi/of0uxmQ7gvjXFlZQebPdoJ5m6YmkXP/PtwUsZByBfivnVv4SFwK6TDIc99m/NhnVu0hrxA
vlrWDDzn0aEOYl/nznBRgmJA8B4pK2vQrh1a5iZivtikN1HH4SKbos5flDFw9kkT2/6dtEENAoZG
L+uVnAHIJOJ4Wqxa5XNy0Mj/lIi/ovVNTVKZDrvkrZiLX6Azr6TXiuKvRaN2h7nVdKoaxIwobMkE
lXZEld5boKwCg9LHvljtN7axSQK1Zc8LTclLSN2SxNgrdWLvSvjMYLvWNXUTBO1fZclRvpJW6ARS
90JlxS+xd/6vyL53w0+HFIC/2QRDxgeHmzsUvy7LyGipEn8Tjv/7+v+0zGK7yce/zcgtmFX42+XT
ROLTREIeWkYvn9UK9afAzI2VpjTVhjOG4gGFsfzBET3wBRQw2Vdpkc0coiJXD7bzLtRL24n90OE2
5W2FsZoybmN+t5Uz5dKmq/b3E2dZ0mRmfYjihWVyjByF8W6OrcBbaTxX70p32GpyKOdlZVqQzlTN
nRpQNk6ZX99dIhChyyeTV6fe1+GGP/f7xeG1XX9uOHS8fQxTFSJgygYhZ+cx49ip8zgo1a3KfUwb
z7wD93KSPlWYisGBqMOYeDsSQ+loy27Y1prnbfSY9/A1Ozh/1eAXatDOLYZf6tWGvOciV+Gu0D2i
ZrP4wf61R1hd7hw3ObhRZ923VpHyfM1IgWqNCkQHZoP7eDate9lzg9o4Bm37fIuTU4Ih/Vfu5/Mh
45/BwTczHP4kDm1jRCtbrCrjlqUELnRyyuJ0u6QGV0ZEVdZmENnGoe8CSvDK8iCHaJ0jBGxRiiSH
bgbVR909IxjgntGXcG7Nh6F0SFvvxdGunMIY5kGwf0Y8pCv0bepHNObqxygm52WWOhVfw1TzY6ah
zuS9TQbzFGw36QBbhxzKODm3jXn3MDlgvs39sF7ThO2+bKjF1lA9P5tF/7PxOuc88NJACTxMSxRT
/XIIyfIKIQToOK24Keod3OVwTkAzWGlVsJErvOvKZWW09PgwiPCHhjTSrCIehfgmkphlhiZ8G3sX
SqY5ZBss1NLLIVM3tzFVqO7lFjV5AQwWdvj9nceSkwoxH9Zztt/UCfIanvK+Yta+cp6pKuT9isZK
SgUZZrJ+EPro2ikZy+gSUecK+7xxirN0F3DGeYgdyqrmsrJO5GztQ2AOT4oxUGUNK/LKmPt2xwZq
+iPhFIH60+mLHsCJwDek3dVpf7Pndj3f7EOmv7PL+Bk4yS3eTDvlDlVFKFlG6JOGqrqvhbpumrA9
bsspOs1Ce3dwkBbQENDbNUJs12DjcuAvKtxIbwA168W3Ex5QYm6VT/aDqkSHTsQifeCe3MD/BIXp
/NjYvbFqalh74IJbwdhtfDO0DnmMoI+gMzcpcdUbfZXGXnLfR2X6jOLStYJN/Cswq3xnB40CwZpX
fvWoZOb8qKTYD412Ev6oJmZ3lGjWd1BXIyBUIQI0uPXNFNghBEVk8us7rVY4S8uAZ8tgGSMdciib
0qGO3Q9Q5AlCwfmyBMqeIiidi+HPZXlplosstiGM/uicr+lYzLvaaAJtV802RYsK27UNQqTVmvto
w2uUcFlxUl3GzuAunnlxuuMAKVv9X7PAUsUnwzM2t0XkercgM+k/a4pRH2Ijju6Xxi5AUQ/TerFA
jxTdw2OJVsIcWS8cSQZHaVtCZK8p3Xnta5qyWRza5DKNU9Ngb/UZdYfiYjej7BY1yA7YmzZGar7/
FIbDUVxXdt/cOhlOgT/1J091fjbSJofSsQzfhcSVkq7ejd+WUWbfXPvIaq2ld5n827UccWGlLcMD
ms1HqD3mfTQ64aoWFFotzP5QAbjlplQ845yHHtRbkmorgTTqLiG/s56siMNev55UVC6Zoxb8UqZZ
P8sQ6AcimJUQYAqC0jqMqePw9lgrX4dBO1I5Bxu3Go4kvwR3ubBXc/XDSGDqiOJQvy9b89SE3W5Q
+lPcWMX3MHMbnpKG8hrFZrUZG2V4sFUr2jtwa5xdpCfWXTqVSNvpkN+37besceJXo1Sch4JC4hy6
t1effMxLEZykSzZQPwBpVht0A4nmveKxacwVmrt/VmgFvySI26JcoazlyELM6MUZ+SNzk24z8a69
cYyVrUTJcxB2/XMyZvHGzfx2n2Z2/6wWRXzHHfCTdMpmDPw/XN4WL3IEHYezb0xqN2OVY6E1i7li
Mc8Jfy42N2m35yD4bupaEn5zwTuMIPHpYcgGcyKGMJ9snVbfVylsQFGkDDyEfynxSGEcLW0gdrbA
ly6Oqim/IfPiQLHMKYCShWSZxuRBIq1AGV6rNkseJAhL+Boxkr4gjq+NmqqrqeWtw7HaknRhoq7A
6pdPTmEWT7xLUyyRz/leDqXDKKgTjmPnXpoaq68veuu83OLFpEARcqkBm5506uN0PZjt99gLurMM
IZPhXtvZXi8TNLVdq9wkL41mrhKHl+CkjHoLquDUP3qZco3rQGGzBPDzHsmy/j4bGvL/akrRig+V
595wqFlAo6je+75m8EP0m3VlhaTIxMM01RO4jWNkf8RINtJZiIgl7N/bph4VvrGhuDdRtoXtwk7I
ntqFbmQ7xZl7HsewuqJRUq1Rac3+/M8RGWuMf1+j0yo0SYwiOFRJ2j43k/LF5zNeCjGq8y48zMOo
rRXFbJ6NYmyfk/SLbqbJk7RYaIygZGgNO+mLJs+5N0d4koKmfUxjHVhzZd6zN0WZO+v77wOP7NBS
4i+t4xm7xjOiY5Go9n3HzcAeXP9c85irKdelO86esnVLAJCovrvQYc6ILc2t/jpBvXQb6r2tv3a9
77wbLl4Z/E9zc87+DnDeZrPeXmTjqTAf8NAtoHL8ZZM9tYPxgqNgnyxILgCeU4asrgqz5OZm7ASa
NO6cQ2Yb82kuYceWpOwdCkg8k5yXXpuVw9R3QPVzPfqqVsYa0s/wO8BJ4GCR+6o7MRKJJRicpIfY
1YjurUHR7xMYZChu4s/kkgXl9ua049Y52oH6OaSkgVSP/6louEV49tztewRsNoU3Gy9VaDZn0h/9
Sg51yMEfoiZBpKdWurVhfNb0snuWvhqChUSpwns50sqpXLv3c8St/AEOHPc8JUqyBgCAvMhkT3d9
NRtr5JbC747h7HhTsj73bQmriA5Dlj0p4adSCIKJADkzEcIk9Qijk5zJq3X0fa6sXT451udhGMp9
n2zDAOrvGcRw/a+oQudwajXlk90P32urTq5ypOqfmq5VX4HUdY8k1+7StED5u/PJZOppsJZDPR+y
PVBgewtO70tGffyxqu18BmWvzIcS1LWecjSkisYKRzin3npjBlMGm4FhJx2y0crUvsU5EH6cIQ1b
L/PThiQK8kddAwOEH+6cHBWt0e3YGddTcu91qs4dM9WeYGoe1knZuPzQ52DVOLUJHZcxrks3KM52
V1XurZv5ZXHWXIsjaKeEkVH5szNg5+bArUBqaAQGPvGUKowBWZyuHZ51X2iGZ2b8Z+r7a44eu7+y
uH8wIaP6Ok/8wZhGVT60XlIe+sHmjFDL9HsjrtRNqJGwh7P7m5w0uccSFqIfjjVkq1DN69e8R2i9
dvx+VQcogJMf7GEU5W+umcz60CZ2938IO68muXGsTf+VL+Z6GUuCfmNnL9JnVrqyqqobhlzTe89f
vw+R3SpJ09FzQxEHALOUhgTOec0TOYnZawxsu+yt8sCnyGN8lZ127ruPvDGySx6wO3/Bv9s9yZZu
1c5Sd3oQZ/OlkS7+22vJzlKZnF+vFWJ4YuiaezLmyfJakXjyk9RYybRbZ7YJ7kZh82e+7qd2NyjO
Mm1RHKrntXUj0P6Y0IPZoRVhPiVaZG/KLovXzbzW7qIK6VuFO3A3N9VBn85kran70lK0QjwO8b2c
KC9mm8UeB4+eZx79GASVsLVS905eS9WHv38l/7nwQx49uu/dDr5oTKCjQRxu2q5uF7LH7co/u2Xz
NkZNa20PzmP/MTkq2Fn46ActtFHnNlqBcbsTFt5mwFipBSbcX+eQN8ueq4E2htgycXobnYaAaxUt
OkxI5KmO9maqATDjpvU2vZ+P7/qE9tRf4bZEaVeGVftvw7+MlhfJ5pzeL6NlOIiib26OtvGgOt2O
nZO5jVGjfzJG/2tnVeNXREIeFASIXgwRmZCrTBXmZsX2p52mhRyBzOKm71zYnF5QAGhvP+mRNix1
KvAnVpMor6pKk59kuwU33s+6UG7/laU1tl258UfmF2d8ZZy3XlS4HZVktW3yqdsKnZ2DXbfKsetc
sZ7yvn5C2LxHV64evuaVPt94jD9IDG1RHV60mTs9dQBb0CdRwXjN75pZAff4mzgeaqfGKNQn30EL
tjfNP8eHGEV9jP+Iz+O7ebxnM15eX76hv47/eF2f6/w2Xv49v47/m+vLv7+a/357zNcDBZQn3TW/
B3rbf21RgZ7iBH8YZwGTLkTw38x2pAzEV/zTvw2RYR8Que1YcJrmDvWgaOM53viOXhtSbJXyyRZo
HpdzHPPi8R1FnqXxI55BtLvF5/GTY3Q7sifNIsVw5a424qpaJKli3ZW9bmPg0YmV7JEH2fHRlGdV
rTPlt+48ag9tMAy7j/io9SaZskB9xNYZXaY0Fm9FVz87VFX/QG83VWz0xtqp3w141CwHZFg2SeFW
SPtxwE+rOsqmPJMHpadc7htNjRIKjyQFilYxNSd5iAu3OYXzQTY9czCXSLw0q49YZbTksWXbV6Zo
oxv+tJDz5BTZMRaoysLprJD3t9W3btKxeqv859wxw2PX29otPkZInAyJhZ2miiMJewPj3PXIv8RJ
eijtFhf1BDTX1s0w7ka7XTmS6IU3Z0NFnvRZ/y6bHoeQ7Y2bs92yx0fcQaZHB+8CKKUd5otzDNrN
iLErC47QguZniSvktvGxGVwkcIFloHzsVuXSHxwYBYk4y14rnHlWoMTWmh5Mjy1CXPNumMVks9RV
3X2NgvGThi7hH0l8tVEy9BeWBT5imnmCyOqv24R1i8iBHXRq+y5guPVbnOeCMxJQ8xZT77HyRYlr
2Kl2ADJAQ9hNLYuDbA2kRi7yrLzUXTnczhWesStTJLxnA0AgOPywhlIf6nkJM/FUZcWQb6tuZMmM
oN6S4uRwMqFtZWhBofSjd1+8Ol8OxWigd1soa19Nw0Os9dNDbUZIziIstxtU0107TVBvnAHHWE3x
h5cmngUfmyzYi6gdXkYn0hZsADN8GOidypgnCgZ4RhoOuJSUPDF+HDCB/LPJ/ig6KG6JHj1aQGdo
UN1zbbdL1iJUTSKN20bs44kzN+HZI3rXZato0Pkv6fasrpmDJSYFv7aKWrwWyuwhXsfuhYJbdWeA
LsEbSungSwbBhos3i7KBHZE5jriXBxb3F13VkDL00S67xZEdMJTiWoPcvs8TiCmhmJDd/muKEZY9
ecPg9SM0IdK5U3US2h+XoU6KsQ1PxtvUGmHKZTK12UrzMEKuAOOc4knon5DiL321+ZSbwj87iHku
ZFiNBQ4ahvWqoWpJvd/ZYMEObiomobhSxAxXVrN9FVeusmqjij1SnhmbqdPSixP72e2QYnWCMTQS
2BZQlHMOsnKr6viwmXU7XlK/s2DfaPY7Es2bwvDz73nfvOaVNrwYttqvFRHVRxze+mPe5OWqF23z
1JWpt6JEHu5qLZxeyC8Ao/EryBe9Nr4ETvuugDWBJkhL9U3WN2n/aGSN8aSCneLjnV4ynHmuweQ+
yEHl/JWB86At7BClZZG1W0Ud4k1poN8H92V41jv3qPDc/Ww56GDqA+CcMMR1EkomunRD33wuRyh0
uZ049wPKYne9Bg5gBKn9uST5prt28Qnl/WTn2364rRuzeZtLRnIALr1o4I5Zd6g6IR5FWL605F23
PrmAXTULvzaupj3NiKNNXNnhAdNfSJCIWS0x+xJfBuWPUijjNwCl3P3giz8Erh3u9CLUd07tqfeN
j7Y3wmPTN/BDCGgpXyvfScDd1OLq29hW152N5SxQhyyvozt3VpCWB2+c1CPYn3QzztCKj9jtzEFk
2mn4Qt16zHlgoPEW27pB0P5xHd4bCyNU7NXKIhsO/mSTWvz9VLblQRjGcFChkfznILVRVMrOfj8c
zKjkKgAYAzBCSCWogMz0UOvOfhWa90U1dNfI/RwZOrbqSRpkR3/0HmSf7TbmfVB06q7KwKT2UAqi
ZWwGxrrLLY0a1tz2UZldcmvOkX1juGug8Vg427RE5W8shLabKkrSkNlt1sEaFZ96Av+NgWXXXus6
BPav9mfZQvC2vRaWQ4Y5i8VaxuRh1lPAq0A7Y2TCpWSs8cRrqinN4TbCfBWpfyBDMaEl2sHdysFa
4B0z4x9LYd9TvY8uiepiMhM496le2vdZajYHPLXDhWz69iAuuCmSwuuc6XOt9YdBgHRR3HjaNYph
bFh0qG8AEJE/Vfb1oNyTeeruB7uMD44p3IXv+X8YRTwv+WYPa/PRKlmbNNTNFgMKys8ijpJV7ZU1
r59gBABK8GTXLFhsG8q6mlbOXRuoNRXbvLt4s10BErHjY9uCEhwNJX31fWybbRuhOstCXQCe933h
1fEXXPz8RZcaGHv0SKrFTi0wg4iAZthd+oRcLF5YbWTftyT+1uMA/BDauLZpyho2BsCDnZUJ/a5j
0bv3O95GR53vEarV7Iypj0/Qv7kVWUN8wWqRxyK7gPtxNjMp/WJ6xN5MJT2CIdtgOybaK4P2in9C
DOOQH7WNkG0T2OU3Qx33RTaL8HsmjOF2wuIgDcaF1Wn282Rhjxu2FZtqv4IhLeKVW/vVKwgknCH0
HPFh3a5ei2TBXsh/HVUrPyIlkizlqMSG860nDrYj8yQkX1ZOkiGLKurubNZexW/aqrBCLZUXJ3Ah
RbpkJ3LRPZq+slTHY2Ceu6QI8awZsoPAQumrXmTfTNWM3lQN+GIYOfjKahZ11ySZAMpaSF2kfnWW
dj0C0X7bcspCX6h93V2cmUYmmbSScQsWs0MOv3twZjquDPWxjzpL0omD6yTF4wR38YDJdLcoq7jb
DWDiNtgjqZe4CUP0K7SzbIGUBZgyH1AubLYx+sQ8IX0jWpd6LxZKkVoPyLGIxThY3nvXlhdcIBx/
waPWmgVtedVTmMUwR8os3GR6zpOy12MFcFSCp6uIbIgZjX0iTaVPKx/CFevE9nhrlp0nNo2JIJND
WZqPIYo2Tqyp6kGNa3y2kBldJMIrT/KQzsWbind+uAXjbId6jXGUnWpqoD5Cjmxdmph5JA6okMbw
o3OipxtLQfp+BAfGzzg3rlHn6tcg78ozBENUXf8K1fNZg8KkN4z23Ud8iBVjadVdsdHC2EcnGsPO
3e1y3BHB7ozm7VLywliOtse66v/Q6glt/SHIv6fnunea70pstgvDKcdHp5pc/qdGf2Bn6676Jv/C
CsDCRYMScqdmAZUwKHay+dFxa1K8it06O/0WH4xWXUXoaq/ksI9DnpPCMLKrjBhOWjirYdTapTDc
bD14B1X43YM8BA5vrSc6dS+bKJVrKP6ixDPU3YPCt/ABmcts6zsO7vLzLBlDTRP2uha5BzmubyC+
xJO3uU2Yh+UiyDb15I0rOauvjO6hqtQXLEnzowwNDl6zXR2d5SSwezluI8GuoEJx1noScaOGc6Ve
9SRjkeXn7ineFD/1N4al+wfSytqDNiHvKkcMdv2F7Jb6WKtOta/Mut94DV7Bah7t67wwdUxehHcu
G/j+rWseUSVBwhUvgZVpzCJVWBOukIGt9uQtnVeLh0tY2MZLEGrRsQeDtiw8y3nVg5pboVpF7LJz
88X0sD9JnWDZ5CDmNc2J93Wqa0fwaeE2iqL+kjdNsUZtVH0gW28tjbqOXsoy1NCXSdGlt8Z3BUOI
r3UX7YtY13m2OeM29CYPXgmHNuDm7GajYHdDNt7yENZPxjfPTJxlM7nTXRl39nOYWOugmIijv7LV
JnRTzUwf3jJBVrpD1tUjE4ELuU4JZJ4+5sDCgmIoLm0xVfde0H+W0wtHWKvURJZdUL2Ow/REslnf
uy5Q87YYurNu29k6wG33ySw1EwprFn6uLdyj5Zan6vdh11t/IHLwbFpx/hbmeblUa008ZMPob+QV
e7Yetyva6LaelbTHfGqw8qdyGEyg/Vr42Qy6k4gFmyiumIGq+KZR8Rq/zt4zugicNyvU+Tx6Sz/q
aWA8Bj0wjD6x33odKIuC+sDeQEX6UfUTdpEIFEyFmmHold1QdH5mtHfcOdqlRNGBam2XY/bFc8oQ
AyrPWVZaJXa+S7PvEsSS+h7XZPI1YKgbYxsqWITL3iFmhxYAyV7KXr2E1G5DLcTbz7xTXOGs0Cz2
vyTBmoe/9qVstQbTrlQ9mmGdXEbFyGaq2vA0I8yKXOyr2hqf2esXB19EwVoCy36Nh3NcAtF+jRes
F/4uLscrQ1FRkUzNnZpE/iZ1tQALej16Djpd2bYx+ge2F8XPvVCKgyUwv5S9uZYo7DtGnkhzr+sK
3NSH5DRpcxGnqb9IuIehdMmh75Ep+EB/yBj1TsrxP9AfymAkBxmTABHZUZvUBWrAobaO0LGLQ9vJ
mXTKyEok3kqHO3stLCxPircGx+uXahbQJwmIwtk8NPluxps2B9UoMwXG2BpneSbmMwT9L4MyJQcZ
+ojnmdVs+x+zZAcF8T+neo350ywRTN+qqTZ2QtOiS5vG9iqH7rMyC1TWZUwefKgNO1G4uFpB4rnU
VdeywIX7B8/LWHZT3PE//DEFd7CtW7bO3W2cvJbnQZpsZuLKT0FF9ayVPYF3aM06VFadkVe7CqHb
ReLWAYab8yvEvIK8trzObfb8CkbR2avU08g76a17b00aTDttqL65+vcij4YvZpHpS96G9EJp2TwE
GIRtBHa7l0CLTTzSanutpC47S63LXiy1g51TinY3zM3MrJBejp3qIHsRc+iAMgX9cVTD7MVs03c3
6q0znO7sxYjYyvOrOjQBXxs14VXrSS3ewPAhbxQY0TlS3PQR5tBFxk0nz0FoQBqecFR6s/tiNbpW
9oLtu3FX9OGf070UibEQFfWzbiV/O90H1PJmTfltOiLsxp1vu2JppzpoDD30lrFLtifWR/YCTht9
qttXF1Gj56aqlaufUEhPnehTqwfOgRRPg6dNEX8a2LVuVLsGLcVnsnAVq96K0cNhTq+C89Dgzj6g
D72rRyySFH/sVk1QmC9TaP1RJLhTlMk91GSW2DMJA77GIrLys6Mbw1E67Uo/3jnE9x07DvMvi94f
oarEs7BPIw8Ia9Xuq6R8iFCnVrdwApqfmnjHtHusoh7KVs3PQVzBMPTcdKUbBgqI8yFN2/cEuZT9
2JUYB45NlF40FMeXkW23G9mU49S5Ix0FRcRKz24XqIZq5eoJKLxOH58GjyxCpNevOBCWVMhHcwUa
aU4oILiNJndyGniovZhNsojNuHk1dEs9eIOjLOUs3xftMjWxiZa96uuIvN8riZbwmCY4qcHxbli9
R+lqrL3iUIeqtSKtGWy6hCc4GgOdBY+RHZht3E5zhLprALlH8ENkSTqq/3FQp3t9lslZsfZ2Fk1f
8XxHo2xJ9jF6dpoYZBZeqd/TGqSeZ32LgCGQNranRz3DhnYYDP/OMOGzIRURrhUbzr1Z5fgVTaSb
qaajj2h+6bkLUxr0kbbENmE7eIW9h7ttnevQLVfumIjXSpgX+UJGGOxiuJBYw/EgLdQJqEHuRRd5
ZtXlN0UJbAqBv8TLqnExsMddPCX1uRsUNpydanbHzqr7ozxrs+jPM7s3lTs1BCrOgI/wb0NxR+9v
vW0366pYBYnJmLJZ3AbpzsXK6lY26/mATqWIXmVnMcNF8nAxJk7yJItftmJ8ZqmUnWQX/gHZSuBv
sZWdLEGS27XK0FUO6UA5OYiFf8XEzlxh1AS0KYTNLmPefEbefa2ognIxLoW3eOmJetdRvV3IER8T
khBpKdceSlCaf10kTPlTnBCRn/llZFzOijvHWLkxduSy46er84LGJYzU4p6tRPtcZ84pHDuQIHPL
0dJnRQ3ds2zZdf7NS2dNjjHtnm0c3fGaLKajOTcL8MyL0nB6oBPMVBGtWQrf7Q5tPXXPcReMyxSf
vL2cS8Yba8nImHZy7qBywx77wNje/gYNhRGvwzVBznUocm1aXU02srePPRPo4+yvV2LBWaUWFopd
X7x4VrSbVGG/W4ZirRLAD5CHguIJ/uD1FkeVYxWznz+qQ9Y8OIb4LOPyOuFYo87pNtPVyuBed83k
vA+toXG3bapLEMbu2RKmRRpCQ0OwSYdVPWArWTpBf4WF2V+VmZ5f8ZicVBfI2Y+4KcxgReHSZIXG
CNnhmxpmFRkKLHPIL1TFRdh1vGSYldzJWGrE0YI7prkq900E+FtjFb8uXTHuYwqbT30+3TdVj09Q
Qy5wtOvuybIhI+IQcOzn1i0UoGZSoTkrWxF8NbzMk/5ONkcvytZ+EowbLwaD6LSttckkc0cNvHZR
zKeYx2+MqgvmJQyxdmb3aOB6i1UTBYBwZhyuNsXb1J0OWWErbw23VDNlRc7WeofIKN8uEJFvTeru
MFHLn3lI1HcoxM4Ou8TRCPo64nqjao9mn+XBarwGZandhSyz73R4Mk5Lhlxw016Y/VA9ZErm7oIx
GrZDlIxPqRi+kvq3vkYW9xH0Ej7lhZFsHJAXB5Lp4RUJXORkrNj66mQPljq0XxqBxa/tWcnZ1QAF
1DWoV8VOjTu0EeqFx7qH2xxNefDi3ribEzPA/efgT6eujOptmW6oD6P5OPc3phYv3XmryfJ+iSGB
dyR/bTir3lbDVago9qpNG/uMg3fLnifi1xIU5a7TdRt8DR2+WQMY7cwBkiI3650MUtFybt1mEEA2
ca1uMaDUtWo19E5U3Zoe8M41t7OxFBZeY5NyNx6+Y+5SYdMQTQ++y4YTkZWzbMkJVA/V1TBvVVWl
aFMWtu2yTOrqKod4PMP2U65ZCx014AdzPvgC8Q0/i929bOqdn5wDdQfj+QrlnrR+9WKivuAvIM4/
qPzJb4Efx9glhfmjCndlraZYDBSosuxtbwr27Jb8c+KG+CGRe3kM/FJZ8MNv3rsy+fOKghrIX1es
0c3aulOmrrEKFTtDi9G0qCrvFSHm75WlV9cAJgF2j+6LDI+6SnolndytM48qbH1rilB7Yrc9Yfou
TD5r4h36uKsBLPcBZ6r6NUtX8t8wOfaDpbPlhU5n5wVc7GT4uYm7pbKgCGUt03HCaKk3qmOkQDjd
jPNpN1sByUOtlTbeIYwpEEBpFjL4MUZHuXdrFqm6DDPSjtIZWBPjLmsoVEX8JhcmGM3n0U4EdaAJ
HrCf++u+apyXxpq/QfknjMXcs9+Hf9xagDZ3Nau9VWC0+aexTBturV629z0lXDme122UEty1cHHq
SjueVF7fbfnK5q8ZoiftnLg1oMCs4iLG/hMh2nvTt+MF1mbT5xYkKU+wNLkXcZxQPvVhK/6QapRn
UnDxpsp462GjzSrX23yM66I+XYZWqi8zvPn6Nuuv43xISoc8ul98b1M0QGRLxnU/hEVajqxF0V++
DXOTqrwU5qsc9RFuRhY4psjT3UdHWZDAimwAjPJq8vVqtdPAu+pZ/Lno/bXBreGc1AM+V+0YPmRg
eZbCAoU6VgAY+iAv3zWtecH0Mvye6VRDRctd19W2WasVbAEN/yCcGlMpxfyuj4H+6pZjQAYnHZ5E
Hw+rrCiNa4cEzEbUUX1qBYwS0RszobPvVh94+S4Y2qVTuFD0KJhRYemD+iS7a/igOMP032s2iNuS
dDBSPHmMTVx+P7UWPjoaMK5MKci9xwLzN4wm+bTD5tCCx3uFmSeHR+RZ9nFXB8uq7vMddylkF+vI
WAXzDVcemiYqgls7NqusWug1TPJ//c///n//9+vwf/zv+ZVUip9n/5O16TUPs6b+978s51//U9zC
+2///pdha6w2qQ+7uuoK29QMlf6vnx9CQIf//pf2vxxWxr2Ho+2XRGN1M2Tcn+TBdJBWFEq99/Nq
OCmmbvQrLdeGk5ZH59rNmv3HWBlXC/HMF5XcvePxuZilCvFssJ/wREl2FJCTlWy2minuKsx3eMvp
BZngXXQvOspWX3v2E7R38Ea3Xp2VJZKXF9mRiwFqVZmja+Yg1GV0ybpt9OLVd0Jn70xJs5JNtAaz
ZeWk0XEwiuK1XYGoTl9jnWJQMmnJUg5S465buaRC90YWPmdOdp6aobpqhlfsXD/vFpqeQx+Xwax0
oKsF3lG2SKlW10pTxnVWu/HKKdPqmtvd53/+XOT7/vvn4iDz6TiGJhzbFr9+LmOBGgqp2eZLg3IO
mLr8vhir7r5X8mdpCq9nYIqyybQ20mI+6tQXOYrdRMJmmh2Br2Xfi5kzIw9mp7V4+sTfgeZV93zk
xKO4PfwYZc6Zkh8h1bcMVHnVdln40fCSoFsxeZQLZAtsMGSU8CVokvYhmxzIvIzxFa8+R6ZBVuT6
z2+GZf/Hl9TWHCFc3dGE5ujq/CX+6UsqAD1OHVvFL1NVNxvNaNONwdpwTxozeY76/OIYkfo5c1IK
LK0Zks8OokvgJspCdhSO8Yy2rvcI3Tg6dKk7ruOhxGavah4xH8WyckqCh66Jkv2tGcylA1k/UEnI
blslwngmSFo4mD96ZI1hRM897rEq+6g4yDOh6PbpY66c9XHRnwYzX76uHPER9wbgrEgH8n0HynFX
ZKN/Z8M0z2/tQMfGkndrK3utecjHOATygtsMV8746E6iNLOWmM77/+UuIsR8m/j16+rqtqabwp43
z45u/foJ1apWo2cOubtTwnLTp6qLexD6P44LoZI0A/tSrNHOkVd1x6JxIel3efNq1yK805Muuw/N
KLvXEtw/k9419jJ2O3QwP/ygwJB0HidjiNum5C66diub7Whl930hHJKoSbMZ5Yt7XkFRNy+7NZQQ
DxkMaMqxoWfNYqgUdJn1mNMSRD0pUqdexrZWHN2kgAfz02mD4PAumryrp9ag3aOMd7xPzB2/Tes4
DWW8HXo9vORRItbARvv7iF/ECiPG+MnvSFGxS/delKKHYjZMylsSBF8UFfC5IpwjetPTE1ysh8rQ
mt0EMIo0ZxtfBbnOqzyDK/ONC6DM+COUN4gcRk36YrjT4NwmFKUPMzMFF/oxv+mgFXqk4UKFX2M+
C75NVl7Gn0mrQEy2EVny1dJeGmaPz68wof3OZ7E9IdUuT+spdG9B2QRobhyaP8yY2q+/BKsdz+nA
ZO02ARBmefDjneGMyp7iZoyCtVLrS80JsACARH9EAt87JkrT3ZFvhgBPS8Ytv2IN/dMpoOY1auzT
4WNM7rJoW8m2JawvkeHXWy9v9qFaBM+B2hYrk9z7MZ8M5+xSH17qc7K7TWdDycR85RGTb6geGnsM
uamPei31ysoabzB9icwfPB+LPgcq5wzkHzuXPGsN3Eh2Ar6NLn0F39/0pmJpVOm4GNUI+6t5sN64
lFmz8B2Md3Oc3F49g5b885BlGNCw17W37FMnsai7VD1HGrA8ZNs3cpylfVfHJrjYTeycxgxr9sGz
gne3h/URjybbja42r/aAjpub6+F71eUQjzwnAR9jKI+Umc5G53nP5GS6hRsdqBGNZ8WrVH/d4R1J
WRMYmVsWF12BN4AkLdbZ6VTeyVgGlhOtS624kKl47gu0Iyp2oP6aLR6JHbCduxGRYn9dmCzalAxc
hJwnp8gzN4gg0iT8bz6uNTkIwif8WNZJkPDGRmDL1sbkBSub5fJaawRPblTjz7Ac8jvTq6xLbQvr
Mkag6f75yWHov9+XdF2omuFqqm5oMLiNX+9LQ+Wljd/b5ufB89b67KOgzQcyby3bfs5MxO08sGl/
BUtnCFYV5fGfYnJ0CzrsLs4VA7WRebZsy7NgQFZenVKKT5OOtGDTbsh+J2whrfhcBdz25KEbsgi/
DHmOrIKqIsTDKNn2KxdWkd/dyTkyfhsChOgZPSsfRZ1aUxe5mcFn0zG6/uf3SS4nfrl/65atu45p
Oa4mDEcuE396wpplhLuxYhWfFSPKljZZoW1eFniLAmR660wU7NC1e8kdp70jn4x+wRx3IpQS1cKc
LsmkeFffNL71hTXiU8v+heVEfTDFoH6KymIh44GnhzuyocVGNrUMi1AQHE9k7fSjEQzV7bKlVrAg
b9T0PJlBukmE1mO8kIQb4fgO997Y/tQjbxTPoNjf4qm/NIo2f/fH2Fn3GAPtE3QXP4VqfgMYR2iV
3uK4mbefEvLJEuj72/iMuAQMu6ESoeNwF1ZO/jjXJVdFFhob2VTGJr/ASt3F5LsKhJcFDO+gy/dR
mxePGGRTYWnq7+OoaOt//rSc/1gP8ay1KYSZfF6moIzx67e6KmvdoYoZfO6CFidoLf80WbV3H6Wl
fe7zql80Ztu/DW0AfsB3LdjKjvaMRs4GS+z+zeyGZOu0ItyaRtqs6wCkiw6+5E6bDw6VtTvZlGcy
FpiCWo1tHyIRZ1fWO0i6qPxsSryQr4gFYhc7cHPpS7U4etrYHwvMMp6b0bwEVTRdECXKn11hfqfe
0ZxkK5iTlE0R1HeymbZhv6xcu99X88zSZ6vmT7q9lb0huPG1nlb1xndFeghmyBkYyPbYzXwia9aO
b5dN3ddHUHtALWVE9n2MKnuBjLjDbiGrUZpqo/4bN31rru+lwqI+Rm7zgedYsYujmmRKopLCiFWG
6nE3D60bf2d7kDNrd7RPNlJu08I0cvuUV8a5ys1xX84dslfGtcay/8sHLz/Yn3+mghylqam2rhps
1rTfF8I9UtRd7/r6+yj8apVbBYhaU+lvh5gvPGok7kteRdaGLUV0skrHuk8nhHdtBBZlizp4cjE7
AzgoW+DZVKpb554RLrIaXM3YI2UmD2hFZWfH5t7vN4bCYhTPcQfVKVItw7ljSbz/5y/1f9yqhamr
fJ11FSasruvab0vI2DBLR9ci7d3WvE81pOZTw13mp8PQo84H31FjITfZixRx6ROokX5lZJ57LVOR
b2K29xgpoUFqZrl3KJ3QOqhAaHZdMk0nrxuqTYE18xX6Wb/o9bG5K0KNXLxR1DtA16CEkmnteKm3
N8DvHeRZoUbd7Sz7cfZ3vR+xj3EU1uL/8kj7jx+/MF1LOJrh6KY7b95/e6SxgJvYs4/Ve5Sm37Ps
QnreOw1RZJ3DGcsj8TmmSOMVikfm6iMmz+LWEUcNg63bhBKNmoU8jaYZRKyX40ZeQA6WHSjZzNkP
726kaD3+CfXuUBgogzFAa8XpTzf4tzxVh3qWahqTdU8OFNwBhFEBoAdumKgvttQxmWN22Gqn2xBQ
X7emPg/x0VxZoDU7IgNbZ9eqTp+EYxoHaTaEE3F29VWz2ZmI6ELAoikPcmyexrexKXh/Z2GWQbvz
lWHTR6KG7uu02qIdyhNIeec9UBPs6R3AeGRIbDax5qvR+O671dvNEuYC6iJa71yrBDFWMXcgNkQ6
OA+yC8ga/1JMHqKbc0c2ssZrvBEzcDPIT+2gzukhOqKp+GQAiPznn4ktfwe/3AMs1jQuwFbbdgAh
6r9nBpCsTDS0bN+tAeR4WYckv3AXWEdKb7+UhtevzLq2dsHcVHow3KreZCfZy6Mb916ywmNhmk8Z
S0wZHi2wUzzcvqAGar+0GvgPJzfUpex0BTYsHj8VDnOvk98Hff+EO1F5NkvTPpl+KJYtyspfgLnD
qNLH16kuQP3hmrLPQr94qpTqkxzQKVm9sNqxuUfuMb4L/ClZJ96gfG7ChRyQi8xdFW4w3nlF5uIT
7/Hony+Nn94T+wDriVWMvht0BTcySbx0Uou0n9/z+SJztFW1qL4f5wP0nz9jVWZU9/KAVMrPMTn4
Y64SdfVt3EdMRCglsab45Vq/X7+0QQWxnRRUzx9tWz0HcELeEh17obgcsn1eK/ZrH6EbX9tvXQOH
LunUCrUmz3qzS+zAoSyygO/AlWAwgsgZceiVUBPqzLp22f/n7Lx248a2LfpFBJg2wytZOSoHvxCW
LTPnzK+/g1Sfo275wA1cPxCMJVlVRe691pxjDjCvE6yhtl3uu4LGH6CQhK+J5hMXjd0/wj5Xjf2R
gUcfPNl5c2+paF/UvH6yMQicJ72x7pGzaeveBu4WkkZ8P/pVR8wduUcR6AqXgQsK86G9LucOEwle
SSV5uFY511dohlX5lDjL0Y9F3ri6HU23CRPHkxgUbav+F5Sy8E6+4E8+ISsEaU9bophvPnctF3y5
/svml5drcfStSqEaznLtgln5fL2UyLGDXBBplJvNuutz7UYUSkODgx+rzWvDvG85Khe2+rH25/Ny
mOEbW6bH5s0ad2ORuy+rfu49aq2hfxygNq2c7EUhvxy15rOXtWLwEadwXkyPaNIwQUyMxVBRy9Ht
ssi9BpiBF6burKb52NcIfdqb2SwXns9r54XctPhbYvX6eWlkttJFnVq3j0Z1Dd3oUbfs8daUp9pV
+q7eLpvLYsiU1uk7K913TTHdLvuUFHmwhOlp2Vr2F6O9z61iPH/uakUEP7+NbjJNNDcie/cUWsV1
QqIRpdbxhVivd/qN/o0tKfrdoASXZjSHF1EaGmoa6E0kpPz9rD7mToO18jKmBbp8HINuNGpp6Sb+
xQNtdmfL0nBf+xHVBlqGW7+bhnu1HLXT7D+07C4rqU+SAYXOBaUg53a5ZGFG4eGkxPcqzwi4/OMt
0+XiXh7Sdm0ovbpeNkc7Dm+zsXSXrY8zxlJxdV+VtjiWKTH61BIAe5nVRvN07RiqHaO/PtsRE2nu
hG709X45sCySHtnnxhbazLLqK2c5eznSmPI5SIryTrGBZ5eN6M+xaSkXr0WQhIi0fEsAkKVgHZ/z
NM22GTzFnZDz4pHor9vlhG+h6puHwKylEBodvg670c+DZQ3UnsbhigU2vWAGcD7OUBjJHKVYP32e
sZzmFxkpakaDMlmXLQbLlUUVISCafBDD/DdLqqPiA5EPUjYTo/H2WdZra2gNJWRNCjrm4KVvGgCd
MjaGnwQVISwmUvOum3zwOGlj7LxIHrn3WubHKQnfOdswfxg0lRd3xU2WpeOe53EKseK5xelFSN8A
ALDO/1rY8+bnviLVeRtno+UGhZvtBPRyX4jqcxdyQFqZcPdkhJhRmZvXQOaxvBADpjG5M9NSPRU9
f+Wp6CE+Q238NlmzZUmRhksqU9LTCRNRdSapKL/dolHKb/iGUB8Fdo6Xpm1fseYaSVZ+mxD5b716
KrbLZqIeisFDHjaM5W4a9XqzXAwS0s3xuT33kgTeyYvH9bI/qMNdEynisZjk7pD0ulgtL6NU5kVO
KBd6WQ86oIU7mQhDxy3oDa86McZOaS4BRdN4S5D7t2W/4qPdRt+9BBsML/FwDObT1UaSdzaBfevl
rEIWV702aPmigD5rRiFB7OyH11E0IABKJyZvze1jSzwacms6Q1NPL41fx6Q9heN3Efn41iv1pxZl
O9okPiJM6VeONzKioHMtmbEHDm3uTZ+n1Xvsp7fS0Gm3kx9mOKbFcJMhm3cxTHibOFZntq/UertR
bXLGekNQr70ocSr4iVdbSJnnaAoOwYo/6SbOfCj50asayDYzrLKSzl6vSOfBhAMWq+Vx2fW5f1mT
e6/nP8WA88sBPdCk9cQP21aDQULXFF+tJATbo0ve45hpCYpmW7qx88K/ZYZjORoWDjqx7DP8PrsI
NbilRXmKZK0/aoOiX+XGF1fyQuIZy7Zedi2LFKENMS1De6AVSQW7Zchgy0rw2McIbpG+xKhI2vAR
Uod5jbuS+xUHDS8e7n3tPS/D8LGQ1WpljSmZR/bQnId5UagReIes2sle1pxly2Qxry0Hl9NKXStc
gYlvvez7cl6ZDMReGg+YdpRTpcrTsbfTkgCdOnqYBtrgPuKL95DcjEb33jsRhI4Heop+qz+tfRRj
Hxdh4Cs3UaI4Aqn00VQBxyo40jqAlVq3k/Tm5mMTqrx+GmvoMI651vHbPTYZAQZVwdckEmn1WGIU
XBMMFmwt3ygfMw2cJXd1k7QYNtVSJ0jUyoFezpuhaZq7AJa0u2xabVceGGBGH5sQFe0jvkT0R/PJ
6WTIZ7XwfybqgxdP8nek4D8iJJqvQ116jl8J8yGp1HqVW0Zwi/sv30T9IJ8HqRwo8o/yIRl5kxKj
ALFCno9ryGp7g8M23sn82xvK2Fww5YmVX40Kk+zup6IE/S++GlKVJL8iRnZOTDTCUxmOwboqkAj/
sjI1XcVGwjdAjgz71JfqjphFvgCFbjxlZaYdCm8cb+atsin4S/lB9ogKOHEkRZuAmMrpo+nrSKJ9
qTosR20lg7kI1x5JPEfVbuih3NnTZtmkaxxtewp662nM0kd4VLqTtlJ8svM6uKqq8oubYfccBmm+
K/DZrA3AlM9+biuU/QoZKgtH7S44qUGT3zUZdxDhA7aZd5ulXh1xMy831O65gXe7LoZa3i5H+bBA
uU+qBH0WL9n3qwqZ0pMORu9q9vrffi6mwHS9XKO1w0YlntGQu/qOxLEcaXJJZFdshBcf1OLKqtL6
GVz6M84kPp9R79Lxtt+syUOoNV8k8J5sh0AQFT5fFFgotTRijZ+nIPm4yLB616oK683vUwAVZlTf
+fNPStXg7z8JEVz9nFX+syH50ntadn/7Sbh6d5NkONxLBSrRuRm/tOiXRZU2m3+Z5M21jnxp1n90
5WmjqbpsUDhDgPR7nafNvCKQZPwUZhRogD/b+KhWmfqUqtHr5Ef1FfCf+hRoMQrWunoYSoY+/eit
lpPwYhNrjNT645KgGQ+Rjqpo2ZwFk1sodBpvHC9hDVK/gk2i7ZZXBBGJyqKIadLNR8cwusZE0Nwo
zMoPVH/CS5572S5IyFlgtAb4Q0zhybeT3AkippR5OOAuTQeSsRLjYTnDH55hvnX3y/GA2BF+dnNZ
tkKFR1E6yslhtIMnq7YNgCkas3HZ2HqVJs1CQuuEtxR70LxZS1m0i+MoQm/Epp2UA3hN29wtm3pj
4AwtGvUYWOM9N+In1TKyOzPusruYKQdKTDoZXcF3wfUjvrxhlh6XoyhG2vOf30FF+9p5mDuhti0L
ajUGLiHxpZwVmdxNytrqmeEN45YC4aTRvZ24MXopcKyGMO3o3ApZPxpVxoeK/ytGO49GszGKGy97
U2UruiuqPL4rCbHeW7FoaCNGGMttWKIyYOJtLYfSesyL7kXueDC3qdZc/dqCtlJM+0RSu5ep66fd
JJBxBsDhXkoN8sZECexi6CTkoA//uBx7SLO3ar46/fxqRYtD1raM8twTT/I0Is9eLq+LKT8UdNEJ
4OK0cpZTZHpanVLUp8/WXz/Ttuv4aNmZ7i5n+QKgn8Ld8bi8BkwkmprjSrKiwR2oBN6oEOZuCsIX
fG5vl89dtkATow1A25Z9y8IjimejQ9f9uBScs3LSS+NZJkT35JOvuMu1FN7bvPa573+t/fk8M7L/
ej37v2tfXiUObbFFOk2vVb6tO8nbRkEYukzQpnmWNt0qaZBsRNvlq899vtJOq65VtPVy2XKg09XS
1VOz237uM4UFMG1Uy43op5/owMFj1orgm+fLe6FRxppED6m6Dq07+O+5a2RB+6p24gH9WIAIR1qz
AwOTbJUXrezqb3/+fP/W8Nc05gi01Qxc6JRtl+N/axhlBpOcUG2CV0A1YXwwzF2tZQ8YvJp3w2q3
YqyVb7JvCTdQTe1awtTfV8FkbDH756cc+r2TIxx0UFjxIZ8XElj/lRGjBF021bq5/PlX1r52TTTT
FqZGcdPQLN3SxZfCmaHIfhjQlfo2jcMqsqcaiQgLPSnIfDbNZsc0OXZ62ftrnzyYRHyTZ+eoqd69
mll9xNqH3FzBYkUbAfNUmvavPnp9JxWpfO5hht1LY3o1Url/LSreIJVImV0arLBNF36mnsemorQ5
6ORr5wkPecO2FGITObKsLYvlRJQKPblVYf4vUg3ln38FBkxCESYOblDuNty4r+VD7EuZaVd29pO5
ivqcj0zCAM6ZnUQXrzElJ4xROmE8WRdehB6vE8UvYFvmNmhFBlwtJnMljg8xj+Y27EakRpbyL7+i
Zn25d/LeWKYB59kwdRq3tEL/2d/C6I9YJJsTEgzu6SIp8xMtJH/OGmfVnBep6ucnr8AWT419/2X/
srmc8Xnusi8ROTjZRCeOcH6RL+d9bn5em9t4izBeRWBr9f5Og79+DIT9ireBMk2tj2RImL7YWHrN
0fkUzKrugLn/ZtmFoGzYc7OfwOdycHmRXiZpqrZCfQcxb7iTi7KH93EjopyXlDq+Pn7VApaZL1he
RPLKwEHh4R+XF8EEN15i0u2Wg6Ju47VX9PrSyzkmlDEZFaO0iOfFstbUeu5Agm7XXw5kKTh5ZznR
4Nvsqgqs26otTIh/8eQGWtg9mIkxXviD3LVpB4BsXpTDK6au+P7juEH1lnF8fVqOobNRs6w55Qmx
PEbZgJv1A4VYCU0+JUr519qyb1nE89EvJy/7lqN1o5t74QPQ6Se/OMp2S31kTG6FUhSU7v+zWA5O
Fkz+Ta6PxXHZ/jwsR1CX6WsM9JFtIoGlSdpo8+BAmRcyEptIadOLNQ8VUPrE56nJrv3HSAEd/4Y8
2RYpxXx0DhyCEprR7ET4sbxIV6byrWg3y7HlrDCdqj1g2JGx1Dzc+F8/VenGfejpf/3UKB1k1xoE
qpJ0moD8kiGZQAV8rRElYZwr7CveUuu6bPbqKL2qPY0GDUbEqRvU7JpmzXcikLUL4Hv9sqwZns4k
lSAPoyx0ZrITOqHlQEQpgqSLulwvm5+L5YoK9OznLpn+iNMqMSSXppfOaJXgxamZtQlkQzov+z4X
geEHrl+EyYECd3wEM0ZI4by2LGrJG3NnWaWxlmzAt16jNkhOkZ8B6bKKbG3xNqyqqKjWKSQQwBcg
q6nDDXjz2l9+mYP46Lvsvm4orfejKq8/Nuu2vbVJNlI13ctdkVVUh8qiIzKPkwO7by9ZNJ2oTyVn
nzYjZFZhOV6ja8/DoBrrVtTTdtnMyS909GmMr2VQ+08VgyrFTvTnZBo7PNX/uMroblJ8PIyIm4jS
hVq/8W0+jOgPnz0jr7Z5zwwtz4MC6GZ4t5wAjG50zMAzbobQ7o6iyKEcD3bxhmB1fgGrkKxVhrbr
CPtIvWlHfXKWA6jZbinmNI+d5xcAcGDexhkC+9BSD8sJogSbLVEX6iwiXws3Tj29e+ht5tUeGDkm
99Vm9gl9H1awHdGBxXjsGNVrOy9U9Se9Rj02H46sGMG5wZQq7StjbQViOMz6Z6xp0PGkQDqWCxRv
kFeZCd9r8Y74RbwP6iLFOmw3xyH3//KUqEP3k5ZHcUtM23ipypIOGirR11qf1krYSFeQEOPdaFP6
KpC57uJMHe5UQJC3rX5aji17KsUsEFAFhrtsUl651XXdOBD7GOzrUNM2sazkL2NWb5a/hTG0nRs0
U31Jk5Iu4yjEx58XVvQqy/LsVdH4UhMcJO+HYCjvBZlUy5WZEkNpKwS2iRotlaT79toexuAbdpKP
N0L14AD2FhhRjTiRq5yUmWtUsBukDipnpoNfrUusfPhvS/tjZVxWCDv6WPnvoVH+/5zz+4/gdbK6
reaRy+ePkHxV/MtjWf39qUx4liYzbtBNzbC/PpWF8Bs7NdrhUdcn6xon7ZWEkfJVaYnw7MDIbJfN
DLKIUanU9Cqal27fUiUd+5WX+1IX8+cxCzeD2YePUYpQ7f9nTdJNm4HQGG2XtY+jpfEv3VNIKv+c
Wc+DPzqnhkmGLyon7eu0jOlNXRbIvB/0qocNChhYrjRlZ+rwQpe1z332/9i3nGfnV4JNnVFKaZyB
tUn2IfXzQzeVFEcT2zt0arEfsynStsrgmZux5cnzsU2AzgbkMtiWIXnt2iZZaXVlHkob5qmo7yNT
Shg4Gtk+DMKU2zOb0dj9JCBSucFtpeFLDH8uZ1GkSNeaRdjasll5Dyaqm+cC5eemq63KuCRDVoLD
C4tntWX8UQcNEZXzZljkK1/zqgc/nfRbvn8MS2cN0WgSDpXbhIIGTEat2Eu2AbCpa08j+mR6w2bZ
GuPWvi5rVWvJgNCI/ItNCNnOslMy0lcgX97+8+TlegppG3m+9OPc5dqk5Wm87OwGgtFDX8PIqyne
1g/lkrFKXzxTpTYRKxTJYfmfRLZ9R3NVp74cdo9dk1GE5n9kEKngYnsfgIJlpngt0vB7EE3pj3CK
XvUq15mZDB4fUAuRKvmVD/MJIc+Jx1CU3Op6G1XfPFz6WF3GUOoY884qY1u7usYv8TmwqpS28NzP
oRQQVWIhMPBtp1ZPN1Y4lXumDNYDnexbTQu174XwYqCOvnbRtKC4+GXNQ2g+0AbTpeCL9WjLmb83
w6rblD03nDr6sRynOx6spySTDnojz/ERXr/WmKFckoRxRa/YxXfVjp4xonWQB1VxoNcsrZb9/NXd
iATjlxn3uu1bs96ahS29BPB1lhMSIq7Waq9VBxDw0UMWUkOaX1D29cq1xsk6Y3DWrnXR0TWaD7Qe
PWlgW9Kt6tXecUrTcmWkwr6Jekw4oFOf6iqvIawV/qNg+lL4yvjcmWZxGisdxNOYjc84UcJNE2oZ
pgGOhgXsV4l0qstytMKWZerZMyCo4VKR7MCsibPicJq2oy/Ba2rD6bmJ2tiVSeg5LheZtr9uocs9
SHUv3ZgZYbfLD8aaszftoFstF5ELmawazzL2UNfqcxWBj5nGCe1JPU/swkh7/NwkyuqvzbLwqiPV
r79vLkfDiqrIcm0zB0CFpU/VOaU9autoE0TgHUK/E3+t8ujr5gjt0jsoOM2l9W/HliskT6y12JCR
rezjzPPESznUFVQRmHhoaekqxPSQOtXYJ/lMz/MKmegrMzoWoyfu48m6+9if2AaFQcTOVjN4t4ym
35f9NUMSN61hFuCrSm7SpmicYFbDSCOJMmlg6VdjKvsLUl4iKyLIv12L9gd+8NrMGvPwsUqkjnlY
tj36RVuSQcH48JCF16OfsxHSZl2SJvSxryyNcyhP0uFv+p95n6/cjqjuPW4WDF8R4nVR+Fb1/p0Z
eeF715dbwpTzwCnSt5QM88gp2iuTdxE4eRwB3fCn93r0rkZl9W8EBP2cqlx5VSd9AFwGg2+gMu8A
socE7Jkm1MOEGQQeO5vnkOyB/Ows6nDz6nLSslZrDXFWlpW6yz6pwtXjSAGvkS6vQZMj3IIY/bUc
/rzO6klHC4IpX3deOjg2JHbssLG/loxSvzDHlTHcKso+s6P2jLQMkp0I6nspYKxsTVX3DZjd1fMR
VDrSys+67sOAFc6+q8V8tRitfD9VjsGEOGm2aDUj6RmGluZOVw0mGjkW1CNxshTE6tl+xEAEv63K
y98AeesOflC/KHOE3LKgONDdtH56JsNeOi67llONAG6lB4p19XmuGRCOqIhgl0SVWKnq6F/VtJkI
2DJGwvMS/dxEcrdW7Tx7ILpLxR6s+W/agEqnZgztdHGxiiEP/ciHeIYEKvqjHcJnXF6p8pW/Ximf
M2Q1Q1K3hlSJM9W3XITB2Zo3Eoah57SfEthzfRlualOaoxs4YiZ6hFWSCFEXsSaFnajZsZKehnkt
Usr05BdVs8sJSfxYC/6778vR3K/7tQxtAAGDfLAp32IQmlcDQ5YPkmCxbC4LoVmZsf44CfiiUMkC
4VQrNhQ3V4rwpoMOmlha8owqST1YeluvVAM3NkgP4GUB1QEcdemNlWhExc4HQLYVq95urUPpB/ZT
lbRuYugDMS64OLK+GzfLJtK0PWF34oH4oYiONh61BEA4tZmIPzWj7zysvW/kyodums8MNUmrNlkS
ZifIwcitIQNvy8nvbhV7Gt0gwGAvJ/RHtLkI5s/lsKYP9b2VVc+fu5Y1q+z1VTgHLspkEilxap0I
TbeY9GPtA4YnXHXeXPYti6lg5OJgiyTF0oIfCNTotqJG5yq07GD9FtAelu1p3h5qH6HVss1T/D/b
flo963IGliyTX2QkzmklZ7+YIMIVzQTzJbQQQawbd8iZjU1gFeHRMFP/3FpzT0xqqsc2zwB0AB9+
b9+SJM5/ZSoy16pSrUeJ2x7ahqQ5+32lHnIzjbdJ2ZZ3zDqhkKRl8taRCbpcpXTF1R+5W6Et9Fxu
rds/FydV8U8HFXU53TZVmcq1LYQm83H6Z82LMmrQWXLh/RD5TGiYNP+YUo7EpvNLrf36LY2n9Yto
IXFHZMC7cXgeVdL7lBrnsySU8Nqqw56wJlIJS09jRJZfwqiq96290swi3KZFHtwF2V0SN9dc8/WD
LAntQLWAzJm8SNywaxHp6PhGmDXpq1weAZMNicytg5fD5AuGdNM+K7qkr5oRxBx1u2aLQ4aKt1bh
+mkCkjeUgzHrg0wZgxfM6xdVgf+VaS/RO+Je7WbKH8nLsxEjAVlWacESbmVlJ1nxlG1atY+SPZGl
5NNjBQcgdjR8Uxfvp3Q0o3uKHoDH1b6+ipGwMK/DMRUCuj5KsokqAIirkxElu0kRz656jwgtK0hc
Tyj5BjeevOm9RNtM4kerq9m+o9SyNinhuwLW6oYi/eCaVcHYW7R7bwqTHXZh5DwT0qZY5A4UYTyn
xLxJIb9yndOGigWY6bR0Bjmc7nu41pFEwOQY8MzHgQz2RI3NNVIraY02sNiMmqU6cdCjLoibciXD
jCOcAtyN1Kvf4xyqYGdk5TrzvcyRpDJdpb5a3EUIFlE9qGc42+q5wa4WK2FLaETgAuEZDmii7SMh
i7DZa7xutDWD+xhfp5sMKiVHoufQSZbVHlTgCmQneoOo2U+g9uFJFI4xUDGIpvZHKpfaCYXPmx9o
WzNgzGSUeZQ5XjeWBwr2fuOnp1TTn4bI0A5+I5urWEAYZtTiu5FiN8RbGjVtoAdmdekJ3kB6KrlJ
jwFc2hbTSBV5xX2gFw9CNOlBhHTTPf1Ihf0Kuct44d67Dyzy54lGt4LsnGtG9FxJyVYx+57crbB2
czqmtzp6v67SnSQwEWgUARl1hPxh5o2cruuac2scJpQa6xk4uiF3+Nwm1nQOcjQ0kknjHpfdqfAI
wpUx123MQReHooye8tTrz95IUTYG62EplbejOH5rMR91uCVbe8iqcKvV4V6JqvayLFQTuONQZqQE
BhW6sFLWjtpYo+bTzFNBw/jaI5ZZjUZAwoBJUi56YLf3JqeRz35piSecpI4VBMeSKvZBSqVhP9rd
a4rF/ayrA/JtjbdRQ4PrqhrZx8zo0V8i8Vx1FQwHb7LU7cBIdpWqphtK2g+5L9dqqPJ4GYfhLGfp
TYO98pq1SIDx8UPwGLVmFWctWe1psKZgYW8T38xXcJ5XxuB/N1St+7fb2j8b2dzVTJ2pNnJlRaXM
b+pfnCqKrCZVWhbR+0AyFEhvMgd7Ob8tEyUns3bsd6pJikpBkcUtmJhtEqV2tB6l1YIRLiaoHNEI
VFxLNppi1BsaLswJwia9zeXMXstToG6m+UaWxX3o2kairfVUkAGUB8/NKP/Lf0f5ZwlkaZ4gvFYE
8ntMIb/ZXCkU2nmMA/BnCtDsAHPROKLYWZEjHxHKlMDDIqzFczJ8wQ61UI/k84RIc9XCoSks98/P
DFv5Ry1j+W3IZQeRa9sKzeav3v0Bkb/a8W39aTPEh3vSVgR45++dFcympbFZTbodO0YEqcUarF+a
FP9om2Y4tb097XPd2payyYSAmtyOgddw8KQAwVkTmhslKOHKT9Ak2y54QQMmX+opuMS1qSDu6MJz
2qrJtiWJQ6yX2gJRlc9SHnqOWkQPYVve84iw137RpySaJWJbydpzmBD0GOlQ23Qjhho3V++j1m75
cwEhaktDXit+t0/TWnUDIXfu6CsVWV0mNqJ5szKMZF335tHH+kXuQ+qkA2mQgDp/2U0YbEXYvKrZ
BFqxyO9yS7cPqq8c+lC6hw0WPcV8JRzFst/SHFigNrbyEV2Ovst87s65lERb4anVkaZXNeua2/aX
GPUrXzZccFWyHnv4sZUXtydVbho0tTahDXJxbMq2OScpccyGn7cuvOLYiWUrpAij3BCeINEcCUkq
rcfp15/ff+W3IQOfRPpjgiaerpqm9WXIkENKNUvhZz8zUx5uusouiNfy9N6laXJfBypzjoKStTp/
OosyD24Fbb0//w7qb5/BufeLRoUPokZL9WsfWJHMesD2O/1U8uQHqW7NCfVGAl0u9VGpQopZmtNq
XJ0RemyZ3vj7YFSGNfVi5M99bm1Cob4RTNCeB8JyQcOM0jGBKRCNmbzq+049TT2xoH/+tZUvdcDl
xkTMgG5bqmLPjcYv8gwlZq6Grsn8GVZ8+ORYfLfbXl0RPAgkxPPLfWYaSGSm5kkEayrje+Dp2rfc
GvY8FzH1kkPIE77oL1JXOJQ27UNtjokTWWQTEGbgKrxnjDMt5SEsFXk9BvkOPpS8amr/qFiwJzwi
DI06XZGfYuwHf6pXlCWtbW9RSOubBM5KSl4o4Uwz5jt59qQh25g9NOaAXvWxRD66Lj0PEosfdifT
GGmW0EbGskwkaZtHtVNG41um0zgMcES6sTS269EfzE0urIBJXt6t6qgrcUOO9sZvtU2Qi+pW65sU
xkBirgdyuzaerkc87m2GgsLvKZ1NDX43rVxVut+4XsGo0I6+YwwM6vJN0nVx5s4uVpJEfK9iERxa
Yud3zCgcKTR5D1jl7H2vh79aBlW4lpaB6TDuQfAWu6JuUBNT0tjyOFYOMHRDoME/ZI1YXwAhWtWR
q5U3wd6YG1k6c1nSL0MSJgN9X/f+sO5BmPEIENm9DZV9Z3ftuwClmDJiUJWdgiHupqgZBl4RIDF5
ktHNHrzxZKtFvAvKXnHGTg8nShGZK8rEHYk+v9FMiVjZEpZlL9tB5tAWkG7D7CXTETCQRKGkR/I2
GXhlysrvfwEbT+/rXDd2eldPbkN9VxbKDYD7OeYIN2E+NfW/PAa+GII+Pso6eAyT2rYNdu+LIayV
PZvvpen9NKowYKjSZU5sSvYmRoG0UeSwpaPbdRfDEN1F9xXyPSP/mCcgANABbAa9u+/mwEGciw8p
b8qfv2m/3yAYAdjCppuvGKr5G2BGU/tpioc+fu/D9opsWLlXbOTuFQpj1+O+vRrbKrlpoKGhk+hc
RR1xpCmW4jYCNYKkkepd10r+bbBaFLSxqSGCjLp7s3+wc+tt9Mfiwaeh/m9iEfvrs5WxiqbS5tA0
y9b55v1zOmYoYZ3WRBa8Sz7gmwmkYp+bj00S8eACX7oxBnVwAsnL93h26L0gi72HNnxjJvYhUwyx
X2YqnaydpXpAr5ft1Z60rLxlMqGQT+H4qCvNpq/PmlLsI6pyW8XyZ2AJxhqIafah6ifZ0bx6SzTQ
jxGl2KsWWwhXmuocpV61pfAaP6RdRU2Ku0/TDs9/fue+KNiWz5WlMzOyZKGidbW/6GWmtIWcMMTR
u5Wq9dqODZ/niYftu7ZutbCIj8agGGu8Uu+jRFBUOxyksRbHdKjWuJcAEPfBWRvk6iTSoIBvrbyY
BNffaJa0J7Gwkxr9CbMvaZCYNVaoF0OnrJPOpWIB+yTyy8uUed9aueWm5jFjwef66OHrOVYtLPI/
/1/5/Pz2fqP/4RGqWnxIDcX48iWq+lTUlp9l74kQ8golbX/BDWwTtN355j5k0HNNw3iFCCU725N/
rzfBL6+cVDeWVbFJdNs/L4vcpm4KuQfYg0BZid0qatv4lluVty+s+pUI5uEkUUu1mnQdStWFQOUB
UAW1R9yNF53f7UYHOBTy2drZuk+mfSLpNwO9tEucvYbmnkiNhDRLchygGmS25ojCwu4qa4+l0a49
GuBarCtHQsnR8jedDGmXlLAWUUqGPb4weZZQVNp5fhS4LaEhTu1nc2eB+ct0J9LMGXVDItQkBZWC
QecK9iE7NTP1yE/tkgh7gOAIVfjFRCs9SWNSrqj/X9Ev5hd1eGiaKdwxn/MpghuYutOsIGW4S1yE
4Ko7aY8MUJB41v17a7RHu6zI8uFuDQzcoWMXXxMGdc6EoHUdkXjipDOH3xAVUcVldmEEaR8tIw+P
dIhyp4l1sVMCbziM1vhrCFuVkn6mHLw50dVTs/egLUFdUCR0CA0YTgUpHV5JLmUD22/gVrgRDFOw
yFFNkIH7zHVGXczlra4zHaJnjkNXARWLkidDr8i0nBN4VYuCFoIcvDHKsQ7G+qx3v+h+N9eE0YMD
RmQP663f6l4VPyH0P3gVBdh8fLMSyT8x6Sk3gw/Vu0Ja50Qj7AgKz/JRzAsc0g4JrcXJ94o3GEXv
FT7w3f+xdx7LdSPbmn6VjpqjGt5E9LkDYDuCXqSkEicIlSTCe4+n7y9zq7Ql1jldfec3goGA2yBs
5sq1fqPV1h3CzuY7cxyXk4Oa6owu7b2eAqlcrPJLNXa3po0q/eDGDzM+Ww+IpQa9Vr7DOaJ+dWL6
QvuOxLnzsdI221/J619Xqn63WJr+tGrJcXWb/GFmxIPm2TqcaJZIHs/JjIVQApMWvN7JTsmrI09K
Z9yU3j6jK78G8b7exiN5oM31+ocY/7N/iC+dv8W4jq1ZhsX40fE08IZv2uEJZ0reOnP8ZmMfE+TJ
SthTwstyvZE2lJDh3nVbXsj+oOPl3vhZjOCJrcW7BGPGo51uX8oltY5FjuB8ZiE8/kJKwfGRyfKu
8kykf4jj6f9ucIiEDIIUHk1cfAs3w8/tasb9JbJ93YAmHc+ru9PiFfn+cl5v1P4lL6qTAejzHRIB
NQaC1XiLBol1yGrtVarmwBo54l1iXFkLBRbky/JPZT8VO6hj9CJjAsaO/zWXqXWAE6MfIQ/ADY3T
+npGVCsXfp9V341PY6ZrwTY9l5SV0F1bsr1aIaGUbNW3xQXGYy/TcIwjqjW5eIWjLr2bsmm9TW3r
Ydia7owE+N+/qMb1UkXuS42sGEir4c3ifz3XJX//R/zmxz6//uK/btMvlPvq1+H/udfxW333ufzW
v93plyPz37+f3e7z8PmXhX01pMP6OH7r1nff+rEY/lK/E3v+/278X9/kUZ7X5tu/fvv8tUyrXdoP
Xfpl+O37JoHLd2yha/VDXk/8g+9bxRX867cAmFr3+Wv99998+9wP//pNId3xu2oSUEADtBkBiF4I
ocDzJu93lUqCQ8keJQRP5T9VdTckiPRpv6uaYdv8UvVUhltkJXpsS9lk2L8z9teBYjtkjR2Sx7/9
dfnfxf/Oz+3fiwFyGr/0ghb0Idd1PM9zXHJKJkHbr1GPSketRqDjrosuKQMnHttw7os2tH7Mndfh
7MZYZ01hpc5yXu71t20Ic2+7bsX7+aft4nhyUU5qTYe54cbzIZ69BxhvYIP6uXhMJmegcOFWYd4n
oOL7vqfZReoPRyJWpisEXzlp6FkZccuduioDtShXy72KX3f96XCXfS5HknOLQlGtQyVlGslWXDa+
+a+zmUH7v2yWc2/2OZ8Z3G/VL70F1VlxznKfSus/oiXh7ZViuGqcDtn9qOrCapu7UCU5okLMi1Ar
l2vlxLH7X5Zx9uxCuQWqtq8pFrGZ+LVcVcCxCrVnOX/ZUS7KyWXP8+7ihz/9g3+3+c26uGLg3uf2
bULVEtHL5upyJDmH99mto7bUZACbhIuRt6BJxaycwMr6PicXdZiUW2DCKzhvHkU3uHn4pctbdnmK
8ua9Wazk83djDIBW2yGQsXEICjrTbcJVvGoknCgaL066z5KYt1a+pHVJAr3TGvW8o1wnf3L+nXyl
dUsxgMhpd/I9XeU6ubnUtOvWSPKjXCpmm/pbigbsT7+Vs+iKPtijMx/k0vnjEGckF88HFYsQKeGj
3s1mN4ZmqpM8kbNyks7adDUWn6s0G0Mo+6SAS2CAfBNMyEcPoVw0HXcIVsWog1Qz+tCpi6Q7ydlh
HcgLUCzWEgSxyWMsdBEGH5WYjP0yQmmaO7RgxvTkuOgiivXpjz3UPDrqVaceO32pw4hwXWhICurm
j2Wjq419YVef9KVrQjmxLW6+nDMKtQk1MZGLwChBGTXu3hV7uHgmNtBEToslPqZIUZmilD4d4Umf
VMsqw6lPqzAmOEb29jJrpI+LRbKlRzyKTG/B1iSLSrBLYhap9Cqc22W6skpInJ6FWrl6Ky+sojZP
WyEuz7XGGJcn8slBTS4mqHRHLykSxLDgMvuUmaun7i+nT7zg7PRWBbEv3t1GXD5sjTqUi3ICDun7
Yl62ty6ySgfLS5twcJoCCsFmotOrinuED/Vw2Nb+Ud6FDPAQZ8P9kP9NHZX1tAA3yrSOsNZLlzDb
wGMkUNURLXDS0jfHZQ7jtGWWakq+a/LK8guBynA3NP0oJEP1zfphC87npVHO4gbxhtZQAgJ5UvKZ
mEpH8a7XT3KVfEKXZxUdtmaqwgLNO2wTivJD01fx4bxYiHNesxodsKg2/V7FXBujmatYvH2RY33w
ljY+zAgXwMqejpsy9giNsk3OIXi6182iOPHEMUhDqp/MM3Pegh6ar7R9F6K+3+N0On510d4uIKQ7
fCdYr/PiiVm5DL7uCb8jRheT2YTKZFDolbNRltBjiZVuXyJV3cU3RazXoVZVTZgP8cKN2aKau8Uk
7qAko5PJb734D1VJ+hBn9p7q6F8TuehuXoOGXfIq149j/MmdFjyP6pFXwiEJGrpFGR2MeLsFLD2E
clUSD/oxtevTkrsfkUOnvf9xsS4eQFzsj2WqiCJCVJrd5QrPl4njE29dTyEOKrl+BbghzrnAy1XK
RXm9jdm0oTlNByQoo2NaaGugmlMayCuXl+sAwuRS5VSuACcd2M6snzJxi8YFytCoZ1i2Xt5X+Xbg
1EIh2cYKz+hF53/+gsVr643KsUwM7XhZZQJrbwmsMXRRaIENuvjLBNGXNHCsdEPlgX9ZAyw4tOr0
kAEVIDAY6tAU3bZcZLiBv4ZctjQTVNI2ZXvMZ+jxR6WlBRMTFXMxXpt2OlAnTAN7MtCQ0SmVOuKd
p8Y5h6WT11T0J8ajwotSrouq9QXaW3bQkbW4lhO7yKnP1SrpiASLdAPinD9q9I4LQJxQzjluzEuK
89xy1TlPGmMCLC8xJqvbrQ+bsoQtRL/Xh56YTAsq7B7CE3jbasJ9RM944cULfl422yEKKg++VhJr
O7vp+NTk4+/Eg5STjaFZ4bfrTB6/9awAG01tC3Rnor0Q7zOk/7Lw68z3hjqlx+P2yZdbzl0Wh87W
9rU6j0DsU99ZqV7JSRxrHy1sg4MNJ4xQFU2nnDgp7ellnVyst4pykpyV+8jNl0W5zsji5Kiv9rVc
AnJHgyz3O8/KtT8d5zzranNgD7R79joph65vb/Sq7MMF4+JQx1PySu0fa9ACAPkcYVwPGWFS4jio
LQ8MdYXUld7wnqFgTdMgAqleq2g1TLHyPCu306jcR+VG5rcQGSbRn2DpXZJPVDhLOStXykkjNss5
haiZTkO8aZffyMXp0QDtfz6I3CTXygOttuizch0pkqa3sRCSy6k4yOVISYRyj55a1SwCFKCVYnMt
4xk5m8ggV6zMxJxczMuZh3BZljteFs+bSxk3yz3ljwr5xVyOKfe/LJ43v/lv2eU3lpfVx2HEauzH
Cf10lucdz8dw2g6mfeTqQZfT6deL6PT6mU5PLkc6brBxBIVErpOTUWy9LG4uXabcWc5dfisXx61N
wsLy5YIZO3SschYa7rYFcmcEOlkrZ89rL8e5/Ct6RDWIiyIJ5Fb5/+RP/t3OPx3xsvnNKcof/3R8
cRVy3ZLSUrjpCU4UkZD4bOVk+zH3ZtEg3RHQwVuABthZF91YK6KNywRAH64s1vpVrlLHlO7dE6HZ
ZZc3i3LDf1wHRyXfpSMKr3I/Q8YLb451/i//dvuIIAtsolbAHMQZ/7hQee5yXS8bKTl72Udu7oyM
5uu8UlzqZR9Li62rqcW1ZzZOc9oKVtn3o8ubNyv4NVJEnsuDkttPTYO02FSgEFjLIA+a2m0Sl86h
F1GaJWIzR4Z8cvkyOa/sUFP3UR7AnevNTiS66aPkIeVB5LL8+XmlXFbXYtlrFdR5l5pF4oLZaGZV
YSDbkZkvYD0Bthr2bZdCAaf6gh1wZ2z7tnGQYDYUi+BWdHsLDrVP2oIb3triNGSqVMW1TqW94lsy
RSw5ylhyk5E2kNMNXYMO0xlNxUt69MzQ21Rk28Vc0pbWec5MJ+fIUP+UiN6nF/GTJ6OqrLKRKDH0
LljJOakBSFCd9r+UER/J1DZMqoKQKxX9dywmcqWt9Eow6b1Jjlh7pydedyjUGPpailGZugzrcRpd
K1zEZCSXeZUOcEHiZggzMWqRc+XUX2UZMQNwPjUcxGRG6Trs4WLs49r6E1fRMZzEkOgykesQXcIf
VzOg1sFXh5fUznuUiRQ6ii0Bo29bgdZmf2yd6+5L2R27oieWk36zpqu6RutHRJLyTlgirpI3Rs7J
idxQNPEUDFNUBWlpz+F5ohfJqd/cQyTbxkG2zJtIP8yiYURDhFm5Vq3Su9XMPDxIEFbzbEhkPslj
DWLnenq7syZaa/kzuUXOAXRuDB4GGaLhp0n566LcKtdRZK59xVssCE7tFEbeOoV2hr+jZyRzINdd
Nsi5RdwqbwGnSm3g+/OVc5fJJN4B+czlOrk4aCLpc1k+z23jI9YfVHXPowVxQLlB/lj+Lo2du8E2
NRB4dLkYVVchsWEVXhYV2UUmcrDXi+0tsgrEeT92TVLIT5G6esFPOxVGekzTYZ9MDFW9rY7607KO
iFWg0BpieeESHGnUFtAGARYuMKezA+ZpEsqxcjK25GKH0T2BoejpFBDpYqzCBGAruAPTdHeTOjbn
BhweG53LpQ0rNXXZN9OIfGHlrmFBZXw26jk0xBANMaA5vCyOm5mU/mVZzsl95N5ysYnU4iRTkP+T
rP2HZK3rGmRX/3Oydvet+Dx/7r79nKw9/+Z7staxyNVS/gXIbqkiIUv983uylk1QnkhjUKIx2UAa
9Xuu1vB+BxWmWzDrTctRDY0f/ZWrdX830SC3VI4H4Eukcf8buVrTcX7N1ZrgrG0NNQMVzJLL6b1B
/+QZzija5mFalQu9JLpezDDbA6w3IlJBP6GiuUdIFXtiX3YeymTv6UirkzbNy65sHcSfeihrFvhR
tD57kgamxdcCxBB6KJBaUhM+XpPJsAebEV9PVbJXXbxR0IfREQrRh+seBlyRJ2j51wqCny+49/W7
wRrsoLep7qUuUbqhDOpOa5PPKpS8Y+/YdwKocZU2OtZDJson9q5KVNO3Njfep2v9LYcCfTRRhju4
XGJAgXQ/Vf0faKne1Q2XpRkkaIsXshfuLjLH47Jgmb6upOG8xEGsBAgzGgZ3rtEpe0Y1+b4DHYFk
TNIEW6RCzrSOuHdaT9g2XKsxatnKaA3BFCXbtb3Gx2ozj42TtredZkX71fV8tySEG9WNJmJoD2af
P+hx/GJjjf7kpmNNQukmysouLLdVw4L9eUSODThekZC46FrfIC0TmBl9/dKCO9liFbe13kdZxQs2
3XqaZ73ZEynnT1HsfEqbQ1fcUgNvruahR0fK1L5tlTMHmdPcaYihBx4tIG0cjAIgVX7Xpy9jDaFI
odScQwOtcVQP1nQY9va8Lz3AbfSDqm8PB96h13yuKRA31gIKZIAoRWHL1nj2B1UfPsDyL3bb0rs7
JEmvE9sOJjf+aing5aqoTHwt0R+7SX+0ckhxnpcnu3lEAyyl+nW4x8/wDueHeafG+Sud365wwg0A
ROxrdXk7pplfmvZzFAG/d3q7DfpuhQGNrZ2XtaDHLMu32hVcsU1UYmXlQ8I/ssEP+Kkz3FKLNUhM
6I+VgnUpCFuKXbegJCo/WaqnKR3SII1UN6B/DJa5waI2ryYsuvqr3I0fdbe8qdfyxlL/7JryoWnz
ENWvipFKlO+zjIeSr/GLZ0dXa2Pfgd7a6vyqMIzHfM1fWgt0sVPXT2Ne7kGrFxR1o2Dxt3JYgsZI
kl2Uq92udJTTqK5TkKYVNcR7Kib3ixHtIyfDHiziyqcRnVZr0APo6hCbNO1QTjq9dgsSe1RjPKCL
kxErzb5cGD+NdYP+R1z7OKe1fjMtp3qezYPdOsh+dR7+J/NyBbd+FyOmFmgLjDoyYJgxtF3lNyri
Akj4oUy0+BUkQD9Ry9fMfYdfBxKWbrtH7+s+MpVwwI0MOwzHvl3dp7HrZzhVQL1RYHK25slG5P6d
EhUHb2r9SuuSD0ZT7BcszvCJjBCrvCpm6wQqwyUhNLT3ve2dsvVpXY1+XyzIrELifx5xCCnsbl/k
UQCRNT0ORTP7qtfUQY9LExJ4zj42GH5kpYr3QNt6O5voss9pavJuSq+aP1Gcjx6sO6NIhtAzlDuH
RufQiLZNSTfACoAZgO59XOelRudhelemjrLT6ftR+yoRfdBxXA17rH81p+t20PObnYnn+36228eW
4P3G2DC80AcPT5hhjfeJUXX7Km3MYwmqztewMoPq9I5Ks3kqCZXVfO0xazRm3xkHjBkT9d6bNu+A
KNncgrbD6vOpTtoN1p5UK8Bmdyhfiwyaw7DFFfqS2hcnBfVNHmZ+ivrsNAF7UolvNMWPPe3BabUC
w9b5blofdSO7HioNqqsBB74pI+zEVJTtphTsN9a+evWUxoQgk07a2EI8+NpG4+UapSQAoPa6R+k1
PsQNuf5iqcfrRscIYOYEjHborsFMdNf6TMZvULavE7r7SbQesGX4gFylS9sAimSy3KMRD8NpHdNH
Z+mXo6cBH6wjatCZ09nXuk79qRmxcyw/gNIdr3WkhEkBLc2+LhiXlaqKxQ2oDZOcJKw/UXcf2hz9
lSKgop5cFe50rPPZOo7uvNDo0I6S+t52kMq6oIp0JFiM/lV3+tKnZK5cE7Ur12nRW0jC6g9KZVnX
1ZQie6BUSpAUbXkNGFsNqFRogWIj3lLN2x2qF9UJWh+gpFW9pkwACW0rMYBYwEi2Xn7jVMZHb9wy
/Bsd73qd2uZkePZtnamWn4Hp3iedae/SwbTPZ9GJU5Hn08IKdDIHLT/WlMO8ADfszmdZJQh05iPc
Qchw5dboIZwKC+yynG1T+8oFY+rVWxjbxnOtGvpOGZMTFBedwpH+uIhhQDH7U5Iboe30RijnKl0z
QhPAlY8pqcqgd3otEYE41GtLTin7YypYi7mmYDRRDtOxLVFX8yGuzHy/etttMaw6g7qqutKKOCCx
thxnZbtt0RQ/Y6v+JwD9hwBUV02h3f+fI9Dbz+jgf66+/hyBfv/RzyEoguE2tX9VxqCXENT7XUSA
BmwxYGugSn4OQR0A2Ro1fEJRAlTC4L9CUOd36vsG3iEWqEyV+PS/E4K+kZICH6Ci/KWCD/RUD2kI
8w1mrlLHrCuTfDs12zjvxglPhdGkfuLw5SGOQGOv57u8iKyANt0K0KnEFwjpY0z8NHpx+6sHK9PE
YNM3nH8Cpmu/AvrkyTkGgD4syVT0vt462gwF0ufKZq8npR9DsLOmkHYF2TvM9+tAHRXZug+r6RzN
cjpqpcN42zb6f4AViqfwk46jPAkXWp8B8pmx7d/Q8YOFdmxrJcsJLcD0qE7Ea23DqBISoYU72DN+
Y5gdGHdRZ3/7M6urZo+hOYrIpCg4xQL1e6yNnmqn55MezABaQRk0avFSDIS/EBG9nnNWErf4B0wx
riJ/P3VNgD5Rz3J1nvRb9Oc4rnCrVlTRwJ3sIm+EyF8gF2AYpyKKyyBbSB/gwnntJJm6i1W4wWrr
T/b2KVW5ykEpHuZlhsMh7vWWT2Sxsg7K31AE/L8TnDp3Z8zl+0lTnxchxJl6lO2n6BM3yThl5XDt
VPybIUkfB2+aT81kpb5wXItVwijoJ2ugY+9xSgmjfTjEDqywchl1XHgz/LnqzPAbqjkHt3mnmwb8
XMoGB6SRdlGSzfvVUQZo0jCOVWLzzQzcKr8lVbuP1HIGm6/QL0G5RUoRaZ81ImltVVfm2DzFsfKg
LHGz32CMBEWJj6VeEevksHucVD/lHRdfRC4a00Xz4jRgFBeod1hdH4luqGRuGC5b3hzaY9LuDEvc
SbF3h86ZnT00XgnucBvTY6Ygd5ZDR0RjLFrhzOIC6Bh7jYrhLultl9o0VjZOekoSJGiKCHjipMev
eFdmV3M5EfS4FpWYaHyJZ/OP2sV9DBV2fJVFVAQfGDsvDxMlL2te5pQabpljMNh8KZBd2hmZm+9W
JUZs27rn59DbTWsKWvzA6OHXYNkIcW2j2Q5p9gHYRrsj3DqRc+Krqo0bB5cgH6Xsh9ZOPHjojIPc
zD5WHgYCkddkQf+i9Tsjce9NU/Hbtl+Pw9yovje7ASr9ZJdgG/p9o4P5UwjciD99E0D4GqFwI79S
ZVJfhSdj7/JP+BzQGXxuTYXkqjN/7O3sxaqSu6YCUuvlLx3UIaM1nAAQ8fNoQDBrISs3jolBK7Jo
a6yeVlHYR/EYxSr7kPbZ4i9G9nGx8he5pcRYIJjm+bBY5tOKcBakwDIYN6LtPt90QBMj3TNI0Rju
uo+v9ntT7ecdw+kPSpzvW0aKh6maTrlZ1ciIVWBouXdOw2fdUlJ2mvgGE+33ukm8pVhJkIwUWHHq
InXVQT91vf2m673vgDCdldXvHBqPLlVAKCbtXaTxIlaUB2fNbneDGUPWrdQrOFuLP9cazXLj7uQV
xCk1prpan8x5QdzW402F0s+HOaUPuXju22S+zvZ0Qhrnxsjm5xm1mkDRQG9Rs0V4AcJOXx21hmap
U/r83dwGYG93i5I4V9U8j8QbkM1RvvZdo3noW1x8YS3tkCu9nVKOsKLBsTPzdj/W4sWYMBfyNiQb
nLjEzqurix1il58ALkJ5VPUqWJLpHhtC1+8X9kfkY93ao+5YzSFqQcJ7yno/bThYQJMK9dn4U9d0
MOTrmh8YE73vOpQQpvlbPHbNvikU4yqb5w/VaiH0DmEa9CS2V6js77PI4eoM3t7Uq4C8pohW4zcS
pAU/LKv11CnwOIA980hdEseyGa9ViyoWOg8HxPwAN8/1DemNnrEwrxKP2Uni2ZeNH7ZQgNoj/T5W
PiC7/2W0TL5A073pkBhOOmSXB2RCvRHjFVo2NzOwcxbPphl5P2qveFk3NUIu9Vgb2bHt9YYtfCRz
msH9F6TQxG4YYzcaoFXzz66ki4D5AQidb2dcGxh0qN7ssvvJmWEWDHS/Joravnwi40DDPCObvi3K
N2tJ3nULbcRa0bSbnPWCY2iQIubbQCiOuboqQuRKn0CGFxw9mfGbZziSVDyjWs9ea0TMeE1t3uOB
m9LUJRIpWDfW77c5+WoCHtjm/EUz2mYv/xFRCte5hNZo6PuWl/1YqOmH3m3vjYzuRb4m9A36PkYZ
ZNMp7lcbnwaOiMiyfc7mJKzb+A/5imwzrRl1iNe+doOyABSXbvHB1cTYPX2XzJyh01QvuFXnh1nL
X3WVDghIS+2PGfpmmp7zieORZWEcFUypte/jXPMX0XsZdsn5AjTy7iNsgwPYuYzK1Z0n+goF1VJg
GV9iVCyFJQ2O77z7BiYtiIDBXBqxKfBdlTTGNox4Tpkf+0Jb6BWiK/liRiudd0rGRIkSdackFRzu
BRXDrf9zSKPG95CEb6fxSb5FhkezYsbbZ9Bn913n7p2IXkLVeZyteMH73CoCcytvVl2bgrFNYH/W
K25nMEnqjneb2hMKk3b9ohcehIA4P3ST/ani0Xk6jUopmui623ZlaWuMF6h4twwC5bamBDwTt1+q
BAmHNkOSBYpMFEI6xmqZBwuoQ4WRs1MGcSDGTtAeP9jiP6MCTBo/vy+N6qWhW/UnDCSyKXqeVJ6K
VSqNXzcGeiweTTLiEi6NPN87KYcDLiqbH8f0O1mb7TQ0SjWzaoI0y76aEftMTfu+595GJPuw/kXP
qLVYHPT4pqbrsxPgNGZuBDK1n3rOTvbYmkljN3rJtyzpD73FUyzqNAus0jiYkfV+4up3DJrR16Fp
VUBYw/Gnm+SZkPTRae+ru1VwPSNnJohZPg4tnUomsgFrn7/mzfipMZ2H0lICqx5u1noCzEXrsmX5
a7U863XdkgmMXhQQ5/7qNCJ0voFpU+OZxXfv2ccyXiJ/bGjIGKBeVapQ6si4B9wzspufp7Q7yQsh
V5S3ykrZi15oUwmk2879UgeoCyLiJVrObeaeprp+dGhtgCJwc88hiJYyrkdloPJox5qe12Jwux3p
L7R+svvGiI7QwQ9Jwmcez+3TNGwfPDtc+KDz2LzDPXefNg5esbBzcQVBYW8iE23aya7vobJ0HS/S
GJF/LTokGPJbdBIZsn9lUDLxdfKpjNGA2oarXzemxzdoLh/jgnxuI5pVLaGLzRvuTlc3L15Ma9ca
/FCHMFkDQEo22jPuRT+S/iIfQuOjAeFTnNmPS+IrAy4FuophsjhTID9ZyId+nKH8OOR8ywoposB0
1q+xq46+TZ3OHxiK4ASDXvFgKd88EyWnHK5FvrWUfyIR6gbqBmBQ16j0xqbyoZ6LV8ela7U83p86
VUqCjVfGGwer8XAQpQteK/2PoTs561b6qhM/IoeD8rjarbAlaKQXTENQpHyGH72RcOEiqzo+JSPu
KDqtsoKK3S5X68Owmiev5H5CfuCZrWnMuxbf17ZaIUzMC1P15RdSiu/0diNIS/nMDYf7mlkwsqkL
GNudPn7qRcOeZRo5+Zqi8zKux3H+kI+G7bfTa1Tw6WxmG/sGiRs+wQLd5uEeKg8aEEXy6or/X045
xUJY/OqMHJVdPkDce8my6qFR/ixQAgz0yBN+NKIfrR+GOFGBlPKK2PkLgEGELWv6IaUDs5olChYn
qr4vR/N6TR1Qaot6iDXe1d4gV93XhIh5/SJfPw+j4V2v7Mp62iNP9bnckFZaXODFfOkynquX8kGG
Qan+qZi1CKMZ3rBMc59lDCIb8aync9Uy9TEyBn6WY6aq5t2LHqMgzKNEJOG9h9UASU4+EaNyhULc
w1L1L1nDqEY/Ts5ytyTvDVyl440ww4vpnclXYpfR519k7OvYA95CCn24QRJoIgZvzBalkGZsgLUW
r2rDWYmAu+jzTx7DG1+bCCFtlVrNmL6mWv6SRJT7kZl5bCPMWTKhehFqa/cAVA+xQtiulctIO8v6
xsdBzYSGnL9sovnf8vwUt3YV0B8Rbbidvzjap2iiCei66ZT01kte0pGaq/1UePljlXGvp7R4cXpz
9u0ONToxdqd8MZOwTb3npTJoIwf7GhfPF9k7bgoDV90e78o5DVtCcAYU6bDLrAcIaS9pT1RTO9tX
ApSdI6J48JDPeswli2tf5uTGi6HsirjBQ047iHs+qjp7JUpkGEK/hxcP/pNcEHlH9smRZxaNy9je
dL29B8WHD3hqfYbVNaY0ElttX1eF/pAfGyX/Jt99x54pBkeYBMk9inRnEisH00gUU439U9l2t4D1
6F/yjaAl/UPECwzin1FqQkAk5Z0xbOyExL1x5+02RRTBR9nxz3p4yVs6TPmYt+Qxx3KcJxlvh85K
HmAc4YBS3MwJbU87Vi96z7l2enZMjQaRfr6GQ9N/gf2rrakmdARfxRBpR06FBg3pGFo7+R6Lfrg1
UYVeOa1yJGzPy4cJe7UZtTSVBLWbESKt+viNUPPFJNEKusU4lFbxOhgT1hYTcv6dGOfOCVyteEp8
hnxhqizvZlSSqCfdNGqZ3jZwNxWkZhmtuYfW3pQTgjOfjNR6P6ju58TzyK/XD4XN91Vr/YwlSvG1
stCnz3hzD/cIKczEJM/pZqMdnczT0bxSxOAP6VA6m1pXA9x4tnmng3nB7obEukNm24sCm5rRTgaV
IgeAdJG+r61lDEz4WnLQWccHtEk8wjwCQnS0PuSYPTn1ejMazbRz0ccLdDt6b9NB+p6jLIy/6CQ3
JHPqsk6PrYlNbauvxybVsE6Btq5GsPBbTfFOSWzcV4X3OkXIMudzsctyKz94SA+0wxGdG+KlODos
k4qqy4hcVpbfxC6RWL8VVzpWQHuv2/jYLbv202pZuTPrZ7XjIYn3HI25q3bKHF+1G1EvHJ74GIEd
XfDfCxYwu7pWQB9WJUhlbA1q/GgLBGYEUiE3wObMD1WR1Op+Kl3t4Cn2ncRvXyYSda5WS0L0r28a
Wm91irI8KGZ1xtGohCpYp1VyMNvpvSH+tTyJCMm2+iQB+3LlGKERA3Qn3Z8x+VN6306xfUDwCQ1T
AjGAUgOlYcMZd7mEtPwEtQW6nSLHdrqsOu8CJQ5Yoi6QLHKTIhEyqp4yAo4wm2qXnxG7cpfLzpeD
TQJHs4iJXCcX5dxl3U/oX7nyss9lxzfr3hw1LSsyVWRqvl8eZVtwO5MkIVz+jzy93nGi3TDkmS83
yAkQjTDJ1pqsodL11/Lg+eCZ5c83xftaA92/Mup2DUFn+QnSdjiMqaWZ7bXOqEjJC1yaMc1Rfy0J
CXI5duzHsXHbQySQuB7Y/ONcLMd2qMZQTV7GAVIU93IG2RU3wdJHS4AupA0uzKwrUgaDHXLeVihX
yknbFsnOiNGjQUUdFVESSYzi0BKDT+WEcZG5oZyjOYWUDCEGUol2srT+YWgi81CvsR4qiCOHCHbo
yCVMjzoyRQfFZoTZd+2XnNC3iRhwXMWTF/SgvoLSwVRIK1uE9uFSzSqSvhHC5p3KUKRUZmT17OpU
e9MpSoztaFd5HqRmU/mOZ74HwOV9Hdc9NoBh163tLs7cPoDaGGg6XkWWXdp7M0tvp5qh/JVnbaim
qxGadpSI1igSMYiCSyOIhyG5s/qIZEqFDhU3MuRbNfjoUwKInlHnZD1n+fTYTLXj4zR7p7hFH1Sd
dxcBpnPS97Eah3MxKIERjRkNmlvuem2LTtDXD1ACbnN7vgFunlPmtr/0Uf7QGNSFIJ5jRT1tDGkK
0p15XKHNR3V0i+J7IP6Pxhg/bAogCaUeT9uoP41ujlB6kVKDad3qgBrBN301v7iVYwZKqzjkncqv
Xo+4ed8OX1pER5Zp2S9tgcKj1RzrFCXBbLzrG40oWDifQEj2F4xYlxb+eTOa7hVlglvcJHYTmoEI
9YP9mMevcAOmd33fG3s00xWqis5e+P+RhHShMjinOtKKqwUtx2BAB6wrjPp+KR1wDBoR4Bo7p7JL
ITs3Wn4qEXQb7B7vJ/Ba5Hbw+9K75N1S2jZBS25eq1bn+mtRpn4Mg9lPeizmZ/cJ7gpqguX6h54g
81ZN2Ji1RKCp2wPU8HD5mmNsqZdyvZtKRTs5Gepac6sd2jHLsNjFBdGNPwH79/ZmP117AOCDejL+
L2Hntds2sK3hVzkvQIC93KpQkiXbciw7sW6IOInZexlynv58w+wN7AKccxHERZYokZxZ619/wU2k
6Ha9mjCD3m4ia7obdheBwEz4K74SNtNtBPWxKSYD3FZcmsHy90PjI6Or2mNj+czmXJrMJhp+cwT0
K/AMDrnVnJ083lUTAq02xccLSMMnouVg6wlxGLq/i7F15DCyPUYBJ5LwhltGeO5TLr3LNGAqA28O
OfZP8DiidW1/P+mDcwpab2dNyADGvvlFa3iMG5MMwn485FRiVSv0/YhPL22MMo7ueKk23QOnJiGS
gXOi+/4TFJdHLiDoGZ3e8hGmoakTIOnKnSdqO3R6xv+jY9x9p4ghYhJhR5Zi1WvECaER3wyWeHeH
5AqMgD2cfxgtFgs3aa+1GzyWhqcoG2Tz+WSg4zLYa2LBaFf/pHEFUnGz86jV341kTLaBN2KwMoNl
wecv7Gba1unk43tKwKUgP0MECfJ8a8Sl3H3yhgBqj5i4WzqBMxsMm8n6BBr6TGT2OBnWWStcLobq
yX2ykwwPk5g5iSFSNuPm4PfRRStq1hlUM9WsvfRl/tMYGwDZPuayJVDQNZ6qGae3wQWuil0hN5Uu
2Jqn6di13vdl9opn0/FDhc5VruxPbd3+KYNyP6meV5rLhSTCC1SkeR8FKQN8WLc7iXV/ZzXdscUw
ZzGT29CUj0E2Z5tlVNgjpAoxTY9LJsYHycJtEU+HwIPUyLqINk7mE7IUk0fYmJtRyHQ/IkPsJxu+
CQeQOP0BKol+qYosecRS95ThHnUaMGcRQ96wdhrjvnaT7vxiTbbzqsE02WTuFEZJdNWHALAJSvt+
WNx3x3be5mrrR3QvdT/ttbHZDqZ4X5bgSiW3ww/A3aSOs2wq/yDT/mckH50yu7W1fWCpu6WC8BkJ
9ldH3z2Ge9Cize/DBN7bOscBC8Bgqh9Kc95akxZsHAqSXLn+x1b72pQC+km7iZYj6TUhUmsmHPSI
yoE1ISnabKYb9o87aXpXPaLFydnEfGd+QUHwi0RJrNFr8mCZGYzLBpoUIV/lVrEhMD7ctoSXCVSl
uj3+ypIZbKKtzS2Z95exhTSssAwNhBFonUmJthvyPVOyJ9mbj3hc3gbXuFel+cxsy930wymays+A
CaGjLmkjzsLL5GvJZUDQqPURxICIXbq8DE3NbvlhRDBfPO2aNt2zb1uPSZvfFo1lI6jrx2za2ZP5
mZiUwWbbHSvdeBex+eK5bUik+caxsBJsXKfd2AZleZ+kT3PfnvMsZg4wHu1pwF1ZbMuuPqbS/AFz
4spc/mKm4tl0wQ8c7Nd3ssal1B52aVES7FtcuphaDfmawMony9uNNCqYTAkwlXLFJZb3m0XPBQdm
vBZyxqAOT42ue9dw+ijBIyrbflenRj1V6okjnlLYzyCmwWDG/2GjQqZjxxe9mz6wzf41t96t39kB
TJN59t4KTsc4N+SJ+iEWP+iK3pwo+XSIHg98XHQxfctK0iSNwjvF0n1otPIhMLBrywsTzEU8gsHD
rjVCHwh8JB5Km+/zQliWBXRawFDK8eK1sSUET/lGSkSMNUysZ/YOxNOO0IIVU3xIZPBNK5lQsCyR
nFy0tKpnqVVyB7MnXApWttR76f3yZyVj/PquPqBO0XcnJ2vvWjZikZloP3tWsiEDWbJ9VF/SMLIN
k/tHiPmH7nGYzYvQcvbADAN2o82/oT39Ayb2nVJl1zbNry49+xmXYcV2tQU/OC1EW2FDeJ7L8jgX
M7hof5ayjUJXRV4Fuf+yAHB4sDTpsMVx7GxrX+UZsceGd7XxPcOXxYHI15SXyGsz0BHn7AKvKVay
xs0s7POQ+ZiLFk/U1fFucXu5c9Lo3uIY0sw9Yqo+QN4cuzvdUHYZzhnGyzFr8Hmpq0FNmRq0wPNn
n7efbs+uX9lchJigpeype/zaoRDuDVBuP1l2Se1d5l58JROZvZUBfc0xo01UNbRRTvwhNK41IQ0G
q5QHcyD2AjegHZa/cqePAwpTL+lJHW5Pmpe9WQv9UVuah3K2aS+SqtlpMy1VSRK5LSzv7Bogx5n2
DYT7xdUsa5sVbPTuDEZr5pz5BV51ZnxbKJIU8pLv4D8AKNMOJt62XkZxzDQd7lNuH1j9fhlG9O7E
GpyzZvoYKysOwZfgPs7jvWaAmsyc0pT0b/mhz8iwhoo9vSHrxRblwdHYsW37oCEZwOqNCVtWfh8D
gNPccp2wSgWm98BtbK6PuFZxzYvxY0mSEE0oQ60ab1cJ8WFbpdpbXNh8JkX7pmHL4abJW6kPO8/0
yIWQXbcZxHjOTOcgXJNARPM5j8BNMNFtGOGle6ZlKak00xdeEMVm5zDr2tR+cmud4CpK/80Gk7Py
T3JrNiW1nuuBSi0lvXBepi/Z3B5EZB9ts8HT4NkYtrhbfraw5tS/BV4E9foW7zsmcCJ0nelVZ/q+
8RuB+B2lVZiCirWKxOXYwLD2RhcwiPgzn73b/MfviH3c2pT3Ha5i7HIMn8nG4gLReQkMmXGVEWGK
nXvbGIcp+dlNsPP+8adm0rAaQRZRDwmYXc3l+nKI+47qKUb4onkUbRcP/zqejkpefWta1c5K36S8
queN22VDkvX64IjXGBMCqCMjZyXkqOBGvkvMVNP85te7rgaYAzsLqjw02JCaxMW/Og8tjcwz9bX6
Hf+aoNsEXDkoBTbrzylSjXbcdxmAhf4pyCvXFCVv/b9hvEtXAR3n0GlcjLBUA/5ePaQxvFB9rW7H
gOfHjvOxm/qjVUMlPpv2M+vQ1gCxmwb9S714NSwE4vAMWSpemswEm5vCgb8wsjPuUtupDIBwKm6c
A56pG/UI9XpNgkCvrnbqWJ2+LfayjO5WGhzVizfduG/UG2BwbeXziVny3FY79XTquNTLaurtYJG5
vneeo4VcR7el/jrx9eeOSbZRgpjw0E5EW/XxqLenPsJ/vtWAozLRoMTgZq2kmYD8mzJYQwe4Z/0O
W3zpS37WMwFbPCyO+Vo9pmber7ufOm2LXYNm8NA+//vwNNYPehptI54uD6KNT0qZAY4FQtEmXqh+
FPPruveP6iENhnKSOOtF79hpi1/qqXQN7NrgaADdl677FHV1VU+pHhPUT4V8Vo9Qx1TVf5Knfx5U
zA/VASNHOqmX4iUeBfLjiuY564315dTTuWI88jQW1GtalG+BPCIepnrJ9m5FTl33Q68ZYvlVdZ1N
gEVylR8GRFe7inApnJva3WQy6Yit9Muj2La4qzKhGRupuZimxbrGdr9c1wF+M2RfbLc3rCBzUD9S
nJPyFmdmcNZL/TgyMTfx3ye7RedaAovWKy5FPxkesyiaD9ARvpoAeczMNFvWGCRXebRxiQo+Yq8F
PSS7tPHPDECPzcbEnKD4LKe5ZODuPa80CLvlQp0ILFPwLTRTZ2u3N7vu0a2XXr/r+gX/CbuvcCJB
a1YmJyuuXiHg3/Aqhq0zGPRNQgA3FA99Pb2of1g7qQRhBYZSHvaQhsysl+EUGl7PBItNZCsSRPcR
Yc2p90sLiJPrnOX7EHWosxwgaj0F+ZZUbI4F3cDqvDdLZh9WRfiJ2yJOoGGA68qg8E7w+WseUw9J
B5DdNZk2WZg54W1FG6efvLlyTiT1dNsO4zFWFEBjt6H29GP9tsLdPm6i3CWpt9N2XVleNDWvNNQE
BsCuwEmEeUxqHRfNTo9BBykbjJXLG1B4KZfrMCKFzYr6MS4obF01MtMHGBR9lf+yO3IXsJY7B6bg
+Ks/tV8zrLWKD/gTe13DTc5luH8SnXHUSwZIZqqTgBLtiYz+XjVGdRF2DgO6STekkoQSWwT2d3jI
9qi/NgWYNsO0e1Sj55BtRfQZQ4o6jtJja9HrrMNJaudj5YEdVAlAtwmvb0M62EFGA5PYgm2Y4JbN
IpaD5dZVSLIXLrsEkjSdfu5ISONXKWFPapjpmPVlhfCLU1lzmCvzqoYqttEbAf9vClNCwTZ6BJZt
qDG0MOC9FfVrHFGkrhe6T+gEqQ7uvjMCZ2/P0RiWdDKLN6WHqmfoV5VNT4XF3HlUlzze0hjGCBQj
TntxF8c64UjILjT5GOkoS0HfP1bOIh49qiXGKs6z7j0EtfYuo/lX6ktjnwZZuL50O8O/cHMt3ZM5
kGwnO65OOvW1U7Vb6AyQSGarfvpNK6j6Sg8eIzcrNDdFB6uqx0ymYtfH/rlMuS6E7r4Xs9+hBgU4
HQuSmQLqFpk+R3W9HNKFv/QyZ+voVFQwwm6WYmYI1uiMkJxZM1Ymw6Fy2ltZATUnAnmpuUQPlm0S
AT6dipFzm353otrftKAb7tzJsDKS6iDmX1Sc9X7JFvMAp+E89HKDx9kP3WA4kYjiQh/okDgs83AU
1dVK6l/Mu5MNzJtgj1P7A8Fd17FPLoabffnFYxBQGrVFR6qvBuqs7oVo5NrWyvkNrsu4bVzWACPH
LW2iiTD04RIYJ9jd5n5OYG+VmJS4itL3d5yqBoorS6qsOR6KvG0v07srrEeDet8roIgMgvJowDIa
CtmpBLZJgkTHioTSCAM1Rl0ThV6RPox+tlXjonVo0BXM5Sg/7jkF0zZSrAb1nW7XV0c630oYhAx7
GNxwA4+N+TSM1jvBm49ZRX4ZI0ec3C6T2+7ZDkI9c5n5iDEPI4+JQE3q41CjcbzOuuJU4+IrUZRu
8TRl2M2LCCbRFTKEoqnvfUEgTwIPSLG82DqoHhmWyaECHeIGLl0uM6K4w6jU/6j52UrMkRPrMC96
dix4E2DFj/ESMaelR7OTfOenl9X3Zp3ZzzH4m0VqWZvld9Mor1bDtYCZxAe+mxjVMtQ2x8wLC+Fx
P2O4PIz6zonY8AcZjJd+oAPV5+9J3H8kCgZysNrbpYnTYf8LRwYSys2QYEQV77Cbm5mehLhxPJTY
sjHgDoM4/Q1BDGNzaPUoaYKDFrvcCCOcCLcTRzEWWNW0RXApNT9sHPNi59M3yegb6JALxJ1o1lN1
kuyoooxA0163db/3a+u16QMlIF12aT3OaBBgetSZU5wC1362aueeueavZiRwMWOGbElqgEofSLDg
FAQETbUxOg/v75ixLZOHBF9vSHWT2MHpGUiK6chK8RVPS42Zxo7uwR790GMmVTKc6+L+PZ+DQ+bw
yXUeM21v+Koy//aXPCX6n1XzpYmXtD5h4nLOC8WLVSO/InUfpWk86IrWidgY8nPi7YbUADdpJgg1
ePkRFFPd1cSOpCEYOAxv9rgYf6mhoOs3770pXnMjAKyh35hIdSLOjK4ybdwXrptvJJYhJbcpXNXs
bIQl0tTBD5xif4iZBajOmH22Ab6NjtHEuwlP838hqP/DMe5/qrG8MicaeuUv91+EZgNzVBoTi53H
gnfO7/8l9rkzudHgwA5HfJrVyV6Hokx+fT+rduygrxJy6LHsgRFtLQI0Q6ikbnWkhM2+wiBvpQbq
AwvfzMauuEotIR67uquvmmIyejFlURR4p/U7J5o5S3Dg+EzQacfuwUwGpEoWHQ6a+KwY6d8mxpGB
GuC1Sq4ciG8SW/r/hxDt/Ded/O/btshP5r0H/+EXDo0Lz7CsJVTIdI4FC8csjcfAgzyqsTVvZPeY
N1/1Mvs7MnSdTesbGLNiebTJ6owbgk4OVgDlSg3/blE0nwQmwJ7J0hdFyM+2VwWYDD79doJw4oej
w6e37qIAbNscQgGCDutkJuXr1EXcCFCQIy39UmVToq7TXFGRZ4vz8ZdrrwgOVQUUFLXLlSrrAysC
X8Ve3EvXpCVKyIPQ2/SYJ+fmT5vKZ9I27P/nQ7P+3URZ0d8NlzdqWq7vBAx3/+ND8z0/9ybN6o9a
akGAa6KbZEZJoAFrmZrlzt3rYDIWW8mUKz2CqQvJBMBxamuhYbl4dYBXi6O9TZVGbp4ZruSYldYk
JYsHzuc1bVxxzgdki5PLJZToyQsw6cdfNpttvU3EaYSSFkmRG2KRHkkcehmmmU01OXUoxhJAaXUH
/t83i/ff1wxRk7B21dtHYPCfEgQUgLlJ1lV/1PXeDNNip0Uopsh/9cFyY+ZbWDOtZHrdzMAE/fS8
kvQ0i1OJwS4kcMUmJ5fk2WnkxWq9PYvfUbosdeV06hsolmvBMLfLywzToFabSmyX98Xnk6mC4FYV
SHs9A7gFDgTrj3aOSnLtk0D+pQ45WQJljraiaDDyK5UizsOuL/ZhUmUzDI9iRvRaHbE2WHlImbCx
1uqbk+sTbuqqvc1OjODgkBmFa7u/wR2p2RoFYyAL+CilBcd/C/ZnftcjuEfx8pZDTZAIQNEDsLsy
rmooyPMWPjln3MwChHk1AJh9amFi/TUu/Tff0n9dvtD1/vcC5uG7iZhG9wPL9f7TTxbLYhSMi+iO
WV2yQlKsHgY/m3emDWenEk+udK3NMHhspe344Lqtueum5Is9uRkhNptD/LYoTl2jeFZVW52ToHz0
HVLXiDalGkqr7x15dkHF/OrvotQbJ9vFxHxqs71mmD91IX97KVppfQxFn97MoPjCFBq2h/YKzsKG
2pnMUGCV5Z2rb/vae8zs8S7LptkvbcT5cD9axeMk6zjda1OS7pOl2KM/fYuGRJITPornwJv3gxzO
WjvooZJr+12FRs4QztmB7prnVokFe4QtnI0PQkn2RzB1/KQyThExCGmJlhOs7mjNRU7hReIwRQy+
WCPc2V0jgBsLvdyztCHeqO+Kg+8R1joXLHiKGbbS2awBBrpj/VaE2K6gRlJFmtsVX0UQh4PP2uTY
bA0rk2r9vUkhh2j7RZ/irwpbGC2zCN3pf68FZVw2V1djgtlVZDSvOgtF3Oo85yaj7qL64pjAKS/r
TkEdvbFS3lVrShdtbReFDSXF8IPQjh+RToiSM0LpnSKkI0F3AIa8tJKKK9CoEbCr2sSy/lDEICr+
ra0llGlO/mVP80tblmdTT1yaRDj0KZl1Qga/lyp+j7viuDJVh+RnHY+fmqmeK6GHCLCMr5BEONiR
0G5q+ynnSpHk/210lNtaTieKLP/Sud4t12DwKlaXqjj7ojcVGaTYQiq/+EVy8mMHB4y//LZR9R3V
xE2nl6OSU7fHFA6pD4hANBFQD2u9nTB2ynXQw4rDNftShsye4N6TxDQa8Pnbftr6qhWmkt33ECPD
frRe/Kj+EalVyJO8uD6072lr/lhv8KRrkp1TzS9JNsEAaGIEMC3BCtkcKZ8Sg7mKoms7u9TvvmPr
enUsjcWGvodgQCJW6Ml9raOUw50AEjdtkeHp3+a2/tak9XVRuomBUfJAexz0bP56VIhdSl6vBniu
4jm2xE8Ef9vuQQM4mQygAEl5byj6Y63xh9l8SlJxGeOfIP2atl62BC0ZRsfuwcyosPxz48LwzwYr
PXd8yDYpaKAV1Q9RYsvjI2TLBYNrJuNvY14b5xF6mqPVWyHy9Iqz/2lZfHHEThGgxyvdjZBTFGLu
C2Qx5t/qamI/IejtgGPg1aG3PGFRREoeCvWT74sLPi+fTr6YRHaCJefThZjJWyMRsQzem5+0LEdd
qSMMAHFK4XvqCanoHmmdzVAByA6pHVZJb26FaU17OnSfWKcdo/Xi4A64Cc0uKep1MCuUdKBTtRnc
DYrYA0mzOnq9s1+JQYR/KgV1pnwiZuUYAasMl8WGpDcNYxaZurtOyUFndKEmqPkhmTA3UpLRUolH
JSrSRMlJkcBctdEgpt5uJMl1OTFykvi17EejxKh0r3hBOv0XiWR0IEqyWivxKpQ068HzELSuXzE2
VKEsD5qpv0glfoW+dmx05LCJa91cJZANhnfiH13wJagoYlXRrl8ODIOUwBYfqxm+ItJgE/UtlIf5
2CpBLgmp3kMnv9ZvevWT9SsUdQxBlaQ3V+Je9nFkvpb/KCGvH20lAY6UGNhHFZwqefCshMIWiuFA
SYdtJSKO+/pxpP9Bmy+fYg+hcaEkx6kSH6dKhlwoQXKtpMnAiM4ZT4MrJDrnsB7lehSWEjVXqJtr
JXOOlOAZyhwjFSWCjmhDt7WwnEOJQtpUUmkXzbSrxNPFKqNWgmodZXWl68OxUWJrEmyavaUE2KsH
h1++tyizLSXRzpVYu1FFSKQE3L6SciM2eyHMZTgKVN7YnDLdoO5k0DK/B5keynTB8t78bSmJeKbE
4pgWducZ/XgLOT0slaQ8aRCXw5BBfozePFfCc1J8GeYoMbowlZupEqizFmNx4b/nSroeoGFvaTnl
VLrb8a+8PTuL5cUZlqeq53ZJ0MGbJGL4ICbwBzVU8vNrXCGZ99MHyQGMSkpfKlE9JCc8lI3iIR6X
4aCXLmPYtpX9g6OsOQko3EySIco2W4zrapsLwT47ZXUE9xjlAhihMu2kLcwRmeDGWnJKTBxf1+eI
ofJi2mTN2C4OKV1e8pTCEKdYAQKlGSPgidKs6rFUVAzgvEeJUpPiUSRate36GFjdS46rhKseBhDg
fPqKcWZQFpaXddWqlDYDevXvInHf7FK+rdVFOS31jjnZQZiM8+Kh/zHFsB19xn0wuYu7v7BMyXnY
6UrP4NQA7ZlNBGy0X6nRxTynhwRB1eLUoejyzyUm9kXRsyuzcLcehTTjuo6bEdGacLUn+FHhepQr
YVpBRDIqr3Oyg9T4YCTGk6HShBiqbOUYMP7qb2ud1C1sHyIuD3jw4sAVBd1Ww1ZYkZ0NAO+tU8kX
tX2uHHLEL7D6O9Z+3kUGSvFNRqC/JF3eyTRgK4N2Tpne3WRb3hUfVrHPXQsGOsImRonzrkcSkCKC
jGpZr6i5iBecPjtKaZdnalTEXl1cerTvIB1IcXLmcE27zdviIQNX3IwjrzNAfc6J5cH7paW14ier
SEbGjb65r9z+KaFzJ/3RK8AIylwcjFHc5JBOJwwnsf62kseuEHWo9+Gq2VoJwnOHjKBTLiATPPu9
16Isg0j5ZTUxnJIenLO06G/bWfqb1MWkG4OYh6xWGtTAPOJJ8tTpwS12JLNK80p3izbEFTcH5m5Z
pF+yLbhXGUGN2o1MHVBsF+1At9wnH4bKQGa6ubTX1iPUbHERmjjHtYH2FNt47L1n2BLPoiTXaeph
cQ1edypWNE3pAQPt1EXdVS/Ab8p4QRJB+vZYP/RBs5OF9VooQBPfGJQJGXiM3gYkH5GI5loXx4Q3
Rac/9Shf+D8VYJWLV0U4180EuLV52EagaETMWZGVM5BBRRVHf6ZEUBerK0ImFlgkZeQmM5snimix
WcGWOaI/8abiu0fEZJZ2P5CmnQiKZZAz5DjNZAIlEQfdn8oRuoo9Uz1VMXWRi2DAGjHIw+H53mta
2Bfa9/UFYkx9Vh63Vc0DkRD9TYl2bNYHVtv2u6o9V/yAmJLdQLraTtXnfdu95oyuEclQ+5aANllG
W59o9SXttGbrE2lSLNZTqw2PqQcLOupgOvddcNPjFFIt81s34KML9AbhTPZE4I6vzKfv+ujchIMP
ZTx/1w0wHdPj4xgEpyd2UhMeAg/ECbHCV8j7DbgFn18oEVhZqzPk/vGngOBpNw0ug5Ki4gPHi+sW
h2Yzp1tbRI2nCDyylKf4txY/1mjOQavfdCv6ajSZw5vMDzXynd3s1dTkQl5FxbFGC5HCPlZrW3uq
nwvmraw+SF3mgtya+NOoWElUlcqGvXcX7y5Fez/WS/ChlyX2MIgF1H07GMmL65fHaWj+5FF+MhQA
UoL8ouvVT/nS/Z5ATi11jDP1b+ORxpYFEtdyLYA5hNEuThl19CC75lRaJnQx19ZpNI5C49YJIlul
jQmV9oG4cWztg5PA1rXm7GtFRHyYDrEW9djKlMnOZui+/lhLFrJNsW/K/Z/+HDyBQe1VvZRM416f
/EhxrfgElNqvju+VY6OQHPMJUO+cK/X737Us5kSLOrsHc/7TJ2S9StwWNLpBST1Wu8iLCC42wiWh
k4ckznLYo5tYmIZagqLaOjT1SIOjNHe9BqVxar1QiVZUP65aEmehvaYm40XII27hzyw1ESSrvj6z
fqb5gmBQKTzW/qhJ2LXjpEE8g9OwNwW3VTi1KjAMdVG1i/ZWmVCTkFOvANyKW5uqavZ6RCmEvmx6
DBXglcZIfin8SsWnsomt2lrcqDlA5HGcDWT2GD+tA4BVn4NrDRcC7C9s8aDSqq7DNv1tStSafupc
h7qXyn4yyA324XQET6McDmVtYqsD9+SU9gZkLNdnipMWRDokFVvL22i7nAznnNlY19ums7V6rwgz
16Ufg/iPSFd7mqT7bWiqaIsRGzOegdyz3vq1qFU2pwcVA160WgfxnH4NPZnbcBNVR3sOmwRKq566
3t62dubAWVwVsXq6sBORKoqcdiaIFNtsGv1S0O2th2BnrLgiaj+w+0Gfzs2tzfZzTy6fUMt+hq/7
trVR7XsAtHpPcZALm5C+5WosBgQMVBejDKqT1ejepl4QEiHWeFgFoiImW2+kNRp2SD216nkdcK5N
rjmh28PwatRy5uyg711Zf1iDFsa1fOoFN+qqusVmqtw67TyG1ucYzLeA2LHdYCNQS+fKPmW6oDJx
f9fIIMKh9C5NBYF28QDym0W3TnX0adcJ2INuovSNjqtNxzJqy6Npvxexo29LMSEsUYiPE9to/nq/
uoBNP3gB2oOZJbRbxFeda/A/PSLf8SHYFsU1S2EJ+VRNtZIYrprlVXmSyPbEinYL7PZjHbktC3ud
PywfMjAumS5fJuXUDBUeYCzIFUuh2rVB9rEq3lCKsq8m4yeeoc8zvG1Re7ehnd9tUhG93L2JaHrs
aueAMVWxHYEqYI2h2VJ6zijWSP1WKi81bnZJiFfr/zrG1XT8GoQWE6xe50A+aQ3hvN2gOAj+7nxZ
0137kekx08xQKRDXuyu3ltBu+7NfmVCX8jc75q3UWXsKRjh00bApVHnXDizP6y1XqonMOtRQg6Jx
+vRcgxReyLuHYnkvbHr3gYvLyq6po/+uRu5LTUvCyWXlDErcDhRy7HtwXfUA2ofakv08/tSyGqoy
n/LfkbSBsR2UKFdpokapXSLNeV0nves5hGrBrD4DdO4Y5ncNybEes4neuzFoYmdRNVKtszKNPnI5
+NeneS6zjRrGE9PwZ7KnH0MkXoDDGDjkuG8lx9Tl9mgAMNarQevSZr/eFyuGoDFgYeTDE4JPHhad
BDBqZkib5ByrycU6wCLQLPKH11VLFCBt3miQGh2ZYdzpxwtAonwnTxVKQ5SEpLYq7JFjtQENN0WB
NfqieBQ5EFRLrit3fYR6gA8HIBEZr4IzZnmJ1QXZjPTOqpYeLfwU6EFPWlddyQrlHmHhNQoW356a
CVM9GA+wvSmE5qOldjwfyidS7uKq6jGrnvF9y/ZKL4g3hMK+VKVlUHqun3KW2N8Fdac/A/isEi/j
zZNEn8e5zlyy19jFiHin2iGA47zY8Zea9aUJ/BTZPjVTdlify1FTXdkwSc269kbj/1VpSKJnYuR8
zvx2FRaXah1n1Qe2OxSkCa4Y0AzrZMWbCTuDcMpMQk1d4J+5W51qjwluE2ZoD1uBi5kaYUI1Y+bl
c1rK7oq8+Qf+6UfZBm9IHxhcgGXAqDcf8yL5sd5DrWGI0Js7BCtejXPvsvcHFCbKo0ZJ4ty55vIn
lWwV0vpKgK/UvJ72uwCkQMUUHNCWUGaoO9OfijvAkS7pg9eVYmSgbSzzPqdQmjNTfRjv64hDlpgS
NO7rkryR8bnU7ma22Xsi7wldzr2ipd4EQBf4MzBeqoovy6vuaSmuabAgt4yNdf5tk05qwT1e9ZOa
T3VrNuycZV9dFmUmQGZAFTbzwUYPUNv0DepiXVJq+0GhU6psYUZGfmU/hKuqUNVzqbJCsErkr0qj
uNJGHKskHzADMm4ZakOfQq2pHS2v3rqognCZi4CNM65adWMx9nlwZvsFI8YG4sciQhuxs2hsnAHr
r5UwAMWemWk17ASebLt712kGjPLymsqRAiV272hhjuojY6X7oQdLqNqZVGlr7R5XRY/qWA2/1aqX
NeMetn9FcxRbGzEXvxUGKUZqyFXBzf7xHuOlg5MD17WfIw3W0fqoOr0B+h3RicrIOZGAk27Xt5BM
M7A3Rthtnbjwwl/XCUalrs3Zj26rr0WOzJo9EvbvEB9rPAHyRic32THvwUK7VHBfpTV4uh/Lb7PG
4KzFvYjf4y1AG9KY6FXjXnMhA6NpsVGb00K0m9hovy2F29Lx0vyNnJagQR874q2tISTmsliLFZRQ
16ry0dEmX+oTVa+WWB0dmVJ09Kb+F5MubRMjZdlsHCe/VCDI0qmKcIX5dRpTY1eRAT4W6aOqnCSZ
z1AU87DIUlTFFdcOY5V33QCGidCIliRUk//yvR0R4HoMy11VSDimbeDfIc/rmtErXTqO2IyM0U9u
0LGco24OgcX3HC6NHsP0v7J4Kpt59GidfbBcA4elzgUmrWe5bKk2ciQVdLtxuVPOF8BEjHeUwgGT
6D86Aw/CJ4KtObGQlF9QRwF3I+80GgF4Ch2YrQS3zkDQggmT3MXaCzbG9Isc+4O63Nc1Mc9SXm7M
wnUe4uqo/guPkRIl2Fpm6okPld/55ddIIMbyktlJsvX9KnpgprkVrebuFAa+Whb4BN/RRz2tVgWG
EsUnCyhv7SCWKqkh1/snsTwEHMC8m7IorX0n44uqvWyPeWgTyydCKqNtn3aw+Lw3jNMbaNxvK5iw
4hhavxBpMpmvqzlGVyywbfMetid6oClnGfWDhB7aIsO4qF+shCtHstm4ZJKF/U3abN15jjKr9Efk
Gl+LjQFSriE9bR3nNWECvqk0eZwHroGqYmPXg8kI6/w4KpuX0qsftZH4ScaUP33xZ1WpE+UIvSTg
Mx/BanyaVGxQLwlKXd+f2Aokuq5AmO1WEQMGOiJg+GZbTNxEdQQMmbAOWcRY4jI5MFR4SIyROVq1
U9N33QN9nNRWJ5r3gSVZIStlDR5jNMeWzsgLIP1BHv5aG+hB9q+WNb5jCGxvTc5PnhfpYfVYihiX
aExtxUjmpZgT2nPIt4IGw3PzP3lTn5ZCpwR05cb2FNVXAfWwyz6WtPxpJiwRTOemrZA6ax2ULdOD
nKEh0knbvd1A5BKFe8azdYFSZ7+UivFRiOmp7UzJvCZ9sn04WJ2EB1cq8lQTU7w73JWAs/uJrSVe
XHtTSNC3FpR0pwfRbqVcDK5P5+nEF5ciZdsGrMeR/ONR2MLNQfVSeVWFQxd1ki7L/2XvPJbjSLZs
+yvPeh5lITzUoCepgRTQipMwECBDaw/59W95Vt2+JMgH2n3jHhQNIIrIzBAex8/Ze+3nvMaNYTdQ
gBqX3zcm9oo7FGFX6qzP4qHIQUs3hWxP24BFidii59G2ziqG1uhfE+Kcu5i37DZfLJOBrI0kd6me
5GomdibvxA4DkNrml2pC+64JfX1uoHCqa6qSpzNcJU7ro1b2d+q5WaNBp3Hf7SFUYSNXW/iE6ZBr
cJu3YfZWdk/nJfS8nhXJl9hhU2BVaCnFU+bH2yCmP+D0Y70Ym+boMnvdsM3/okX22sirm6j+1nvd
a1UzV/cSzllmUrLFqOqWo4sB00oPrVDiJBaaMyqEYrxaQPOj//pF7e6K0N95MUBKhDpW4dDkCbf1
fDD7SOEBWvo16Jc3ovL3mhZscyP9eoZy5BorXK5a03gIFo0SfRAUcu+T+0JJQQVG1NNKdb+IV/5+
1nQMc3Q5ePEzikOae+Pi3OasGPUs8RNu/d6Nd2cw1FnpNcBZDnkOnIUDaviXOohovTD9huSJyijo
goWo029nsJDt8ETxiR7mCfzUJeJb0mYPCmCkHpt6mWDSKJt3r2yPiCiBolK9ofbbTm31NHvUQVB3
YBTTlYg7upxKM9RL1JYtk91I3XyNLO+xaF6cB8CGy8SOBs1C+P41LMCrALnfGlMGSy2xh6Qj3Knt
0zhS3pP6iD5V2c16VxGsqA5zJfHrRH50Up/83EL7dm4Om46yE4897aluyYQEIavNeTdalPBF46Gx
VnCdPkQnw3wOU1G36RG/Lc8XKYPRfmn3zjInWVsN4m+7CPWsOvpc3Oh6GEDmsjrQJjworRLuhd25
9jvv3UrtFOfBevaYaWZODLcZsX1aNggfEWZbAJqQ6MZbiNZbmThPhsmSjNr0a6QktZHREOBkMiKl
DrEa79ZjT3sZ99WTNLx6xXiHCHd5QmuGEF6hxNQubVRIJPx+YiHiF6WU7vMMdIBG81O118v2vlVs
/fP2RirS2HmM2nXmuy2KYtXZ75k94ihUOAm1s1Hd0ZgnIKE9xtIaXWyJbNkyfuwq+6ySggikIUnv
XU2dfozKGamAxf5M2PUltE6W0cJ9VTdEkiNNM/HVqCr6LIBLWyotd45f6qukYUORqw8aqQqArFpt
5xCIvA5GD0qI0d6c+V3pzOM69jbo5j12gCbsPsatawdpeFtaEZdeoG2KCeO0ychqWXUYN03nXnXH
59J9L7TmVRGt1J6RwccDnpZdndXXiilSxvZhpulBE5macRRMT/07sKXPuAjxYbKSs9yxrlzns35/
Zh9m6u372mHUNX1dp3iIW0WjgySSbwOC/sp2TxPz9dxlMUZWjoic+1ZvHkr6/BhPY2SApCSrQzjN
acVb7m89JeYpy8BigIIIhq2WlRWPmX6eqp8llGrjeb5zZ0XXU3uwc++JHsWlRfWSifzNUv1TdZS9
aj7mlXfpVozrZuctH2psMkh0IVxPinnkinczHm/U6bFsJ91EjDdZ7hkGkICnzoZGk4mZTe1SH3JO
RX2LhY8HOmM89WOTEm3EpbGoVWWlDvO5Ilbt9PP+enS56c+0IvV/T9DhUItTMp93gBK8As7jdD+p
hUI9wfEcpRLyXjcmiCRAk3eTpnybdLYtbW3n7IfZNXzBl/xityy8WuNQcMOp4UjMqtT2VPse1uWV
M+JXUyrPuUNx3dTe7flJ0qPyAXekU8oz309IGWcukLw4AAvzOb8UQQizjSWqO6ZF96LWmvOz3w7m
k4XwaI1OVEwbhWLrkOMszDD+HsDBWNh6vDcq2IZxUT3L8m6y7PszQUoVvY41f8kKf48DT+EHrRiu
ffgkT3obvVSa9V7diE0qSnvVVJxQVVWcHzaahxt0mjZIIr1Alaqqe2GeWmAJC4LrLpJiuMAmdYVE
/7EdiF/HXX9fDLdRziQZS8R9bZoWg8SEpSv9cq5vtUJoBHIv4tZ+KBvC5M5dB8OgGWDbOBvN0Ppb
Bfm/ROM/EI2RPRII/P8GGi/Lovj2JuO37ufY5PM/+xfS2PjLJa1CiSktByWWUpD+K1XD+ss16dXq
YHuFgcQSOeG/IpDJTbaV8NJB2e66lgA1/A/TWOh/+Z7v2EznbZRsnm/8J0xjz/3IvYWPbPmI3CGK
uraumx9iNWxzcnwKDlzimb6LJDcPgNODYBSo8rYVuFw+S+172li3ns4eqypnuS66EZVmwh1beNya
sdZ6NAiKp6rEbS+9e6/30suwqIJ9X38fuwyjsXpKgHiJS9jeenyR6SwKbgJDYwKGhiiKaANX+Rp5
6m0LWLyY1GnYFPMDbDfs5sZ8MiLtpsKhRgiB+9qO6YOLbSczqNn1cDgKrckXWKzXdjDIlakQkTV6
+pCmOy3k/MDqEFjGK+KFCvcCytTxAY5/sjRjceNPt33m3ytjvjYX9w2Q0qgBR2MnX7vBv2qd6Dg0
wWGUpNnpzSk12JpUMp+ZraJYq/rmeY6q+ygob3va5RhM6fiN61aXHbMz91FY0XXnpt/7hjfv2NUz
+L3v2F/oTpUcZtch+KGy941tEATIcUpD3nPoNs+iXFdxhIXT3AZBu06G4iT9Zo01hvBJcer95Dnr
g21oKDcjlI9VWLxbyO5AJV7E0KpxjJKUaPFPksCG6+UH61AiYSdOYG059LppX7N2clZFuvMYoKWs
O0u95j1kkHGolLKdDsM0NAcaaUB4KwQ9YnRQa8k3LEkERiv0R5ag+RjyfVzkPB8D5gvO+UrRWgIg
5i8GZIZENNUmjTL8DGN44UDSWvapuJndbOZ0mghfvItE8AQ5n+2gBZ1XPbHloYuUWSSJjd4TYoyJ
ATrCwbDMbtoQYSaht8s8IVYF2kFaMSq1BwKJ+nHBQz1ngRxOHTQGNCwFrdcGBq96mMC1eyDcc6R9
Ro8W4v731pr9dZbwOIzDUwyeFnRmuGWHay86F0aYLN2nRnowN7LwLcios1XtkbgNqerhMbRKOjIj
pRS8y1ZnsBXlGC6EpO1juNO11htvZvNmpLF2a2KzxwOE3aqrUAxFtPgd5jnBJQKidNO4lPj+yCag
ARHe8l4H270A4HQR9QRFqJsl8H381VG/nmsDjAIGSrcnbWaybnJm4ozi/ft6DJ+oCU9pzPnlgZ3r
9g0ERUgERngDWQfC7hRkTFRRVdQFH7PahDQtwA1X44WZvY2kfWC37FdOYZKfIcH83upDJ9npuyez
JEBYQWG7zP8WEEMV57eVaREGRxdW6N+dwBkXs/L5hjWRIhF5oLltn8aJgt9PrYVpclQas3yyhx39
h0UgUu4E/cmAHsU1OiJv05B2NRiSuUTcnlCQnDBxesYN2sUhfDbwlqxkifNCV62dpm2ehwR4p3ZB
WHpBIh63mMZNByZnWytDucXlEFv3rk/qSV9BjTPmyzn9SgcQ0nC+NGuOdce70I3wu2iU4pMWZAzs
a9wYqXHtRcTooHmzFk1fjYsIsz55PRe1GNGG5cFeWjBgsoifO17y1cLHR+FDUTbUwXPRRBN9ERdx
kHtvNpYGZbZb8xMCS3w2SDFu9lXmsJ5aRRDT02BTZw/Z2nfbZzfldR23ZmDaoURrp4PH6pmS7bAc
quuiYgXCdQAcJh9wgaY5+stYIPCrL/KKhaVwiVXEkpeZqN+qsKboYMBZMRlUPbZbpC/sssO6w7qQ
VDAqBmYdDZWnb6p7tqvqBZjCE1VhtSyb5tUs/e8m0lg2xdmqVYI9ZPYQkqtgS3Nr77V4c2VoXQNj
uGwiBCRWzQfyo8eWwKV16kILoMd8iAcGkUVXtqu67SLlvN00SUyoip4eLQ4E3R3vGAZ7Hcnfwo+t
O00A9pEavPKZvRC7cSQQKWOInNG1VpSbPrJPg8YZhA8CzSikx97TlVpEk/egd+DBPIOsGOwJRz1n
PkQbj+1fTpSQ75Ysb/lgq3z0Nd08HGQBm40x7ddg83VaZR7yR+FfI/ffCOtKyzkVWlAczCp4S02X
4DQ6d1GVvHdFdmfRJ6Jl+zxIdi2zmjKWVeNv66n6WoGPA1lpQ39l1ohEgFsv8+gCmURFCS4XtZaE
rXkzNVgaQ19iBovu9KZ7H7vxoXGgR3iSRCnLCa/d9P18lY/+TqZRhBRE8V62gxgirga0jZVbXsVW
vAFPxnJbiOaitjzkz+qBheIxXs4ab7SE9oF4pYZ1qZjoiR1/tfrqapzkq9sV3yMq9GTuXsqay8Aw
sndd417MLYkoy8y39IrtddyLi6ClB+r5CDAzPcKW5dd7CF1be7S3Nav9FHQX7I3odpjOaR7c4zAw
HUxojWFvNZd1FKzBFq4pjnhOzfo3RnSPHhghhMvTzWzlEyq4+iXuZndxjm3SDKZj1ohOwXW4l+e+
aXg4ZSeNYpo+AbsARsKozdOnptIvjblYxGjJwI9z2evfkDQklODjFxkwf0kFISBO+CoEPbO+OtjD
SyThcZ+VWgEatUUzSn05OCw2fuow2eRfu1IWGJGKXUgkzgpZylIjRxIHD7k/QMwKMEvafdvPLBUe
44WgM296Ztx1N45YVFkgndGJFn3Lk1i3dGj6/Z42PO6tBA1bz4c4b7uSaAi3E4iDzDiho1P0WLnJ
UWUtzo9Dbh5gCFQcmaq+khgwpgZjIGZB1ELtfp7k85jO5D2VnQDvxWJrixuC5lexoUcbHwoPktaj
LUtVv1E2ANW60wY+S+QfLSV7J19eX0U1rc5WRVNq0UmVLqSX0ftvtYVrGicA3c/nK8e3CNfyEMB5
2kR4puas3REqfccjbiMKR0ll4fTDTocSFDzFSb7L6CgswpPvWikXEnmN9ujK1QjQx4QvtZKJy/mH
HJkYVbQuJYSFuPjmDUZ9GdtOtan14FV2tr3u+2gddQGNiUVZu48MrMp1qlFmsf+18cepoGv8Gn2y
kYa45ZAXO9Nx5F6a4z9/1FMp983QM9+fmoKSae2MvX9pGe3Wk5WxowJ/iWqHpwRTp7bFcE5xPGBi
8Y31UGZPmU50kNaq33ZrR+5r6GLH9aqKdkbQoNkMWyXcPH+vw1SkkUsullnNAdCC7CpJBI5fS7/z
PLLiK/KjLg2VAV26OAXCZB13BkNBlQdqq2TQKk66y/O35z869YNgQ9wXlg3x9SzmPCewOzVQMGca
ZtWkjfZpTuYA/uBN2pJE6nuND9XFwLph0dVABb/R5MbxCEOfXfy/rTgZeWRsUYrYiygN0A9hgTeW
Sdr529wstq2Q7NcL9V7OotIxzx5s3NAbVCD8oE655CT6MCrvUF7O0ggvpw6JFqjOxAhD7qRgRv8C
MLJr0n0EVTqV+rowQ+zekxEekJMeqi7qlk0GQxE6bXgIZHbQmBBtLWaHlx7+30sfekzkiHHn0Iho
iuIusL85YxHctTNE6tbv38qy6Q8RIpnDfIPC9FTVFhRlxQnkVR6c6EvlhQ7SPHsBMzS7yGSSreuG
C8Zr9fGSEFSMyOcvU9ekxHHwq6gfEASKQrBzZ0YWyV2iYlIToxkvz19lUFsKN0QK5Vb7pIy7zWi6
L4xKulXNxYqE1HnGydJu/q0Fd3QLPf2/vzfHkC5YEb2f5eZ6PLpMYpXynKwCXMhuSu0Y8DpnPKGh
BURoZJG/x8UUryhz0GiO3rwtc/NQl722bxJMzUpJd/7OHGK2U34IMnf0+grPXYbHTv0Bl+Cfr3pm
KFYcwO0ppbtmo4KMhXCnvfSlsTaHCh2V6/T7XMfHBfxmREeO7cABhLNAbo0nvglPNNbsPQmO9r7O
C+fvrwjrcFdCauC61d+d/5euDogXny9xW4v1+W8s9Y+cAhWl2yj7basfDcs+BkPSfyPOYF+NevOS
NkGx8mydUMUgyNnRdP1+qAcskpp2AFm2dGcx3MWy1U4yxwA0KDKHNWT72u0MOG6FvzJLhwa++tae
o5OVK8XlQG1WDbp5n8WJcWhnhO9DD81+YoKwyRTfScbW8KWaw62LtuGG6W26bNLxJe/c/LHqcO1n
BQVCWtiU5060tDqOdkQv54f+wm/8qIbajZcZwNLi4v2//8umVQlV0cJhh5WLRAzrgx818zWTgUDT
7SRze+JOmBhF31HGwXZAk9E1VDWWzrYEKTW9Y55e/z+vLwxPR7Cpu5b+oVuAmx8cpqy6XeuODzai
jcalmGQjCPntnWLfbFE5d050GRjzH7y4tF5+/ehIgxwGxT7N/A8vTfEPaGIuul02sU9UG8a2o3+f
TQYamwlLjL7Tozb829P5v72vP/S+DAOryQ8Xx+pVvv6fb4WMcSO85t/++782GfkU768/hnn982/+
6Xx5+l+6ZXisYuSREBH7P30vz/2LTphjQ28yDd3HYfw/fS/L+It2GPmujkk4py1US+yfvpcp/rJp
ofmepzt0RBzf/k/6XiYNtJ+uJh9/pbCEYRMp5lj6R2N3iJBw9hCk7uw0k6sauidcojLZt1V9JTF0
rJwsirZxrqUHhrYQ28wa3GYNiL+6xvYT7c2uO2lM1iFHNYoX2KChIuuyzrC5+V3RXuD5PrZ27e0a
vai3foTR+Yfj/ZvF4IPbmKkZUVXKbqzT1XPYOf/sTYcdOhPCOOL/4FQt0YDgY8pNNilgTwqTIeBc
g1303XeXydEfXvvjQvT3i/ustLorBKfkw4uTY98b2ILktqkjcmtLLCkWVfMUrYlsBREG/7Vy4MGk
pDUFVtz9wWr929fntClPK9eYOBv3fzDmz8aYVlC5UNZ67bUlBuS4AxjOtnAQIYQai/MF9B1wOTmI
BRv7/OfH3vhw/Zw/v8WnF1zepgWh/eeDPzIATRmyya1ty2jJRuw2bCB3WRM6H11EiKIsST6kF781
PGWXwwQHJWc7Qr2TWy1jjUb7wyH5/Ttiy6huLjgxH8znkiI6sOBEwW9TYN5kjNYFDpbDHz74h34x
H9w2uV1cbEiOaZEK/fMHh/ViYe0NiCGeUXFOIO3Xzegkj6QkLVNHhpd6WCgEJRsDszd23aAN127T
AG52a5NxqYi2aOGcfRIL7z97QpzfGkJW3bToi+uOapr/CGuw6960IkN227Z+R05JS0aL3oTlM5YK
7mOhM5ZWgNDPD8ivh902TdOnvvEMYbBq/fyiAfL7wbPKbpvQ0Se7k/FQRTDM+vNX+d1RN4WJesPV
fWFb6uc/XO6615qJkaZ8tJAG6OzxMZqSDWBmMVn6/KU+PGfPR/HHl/pwgrEbhHVoZ93WY7pIn48w
uC55rxKGmxYSDdKII7gp0/HzV7VcPsEPlc35ZT3Xc2zLA7flfFyQpyhlJzJwQ5suISWRJgtSQPQ9
nqQcLagpqPWuwJB3x6oa7qULV3yq+x1LA1plDcGC4kWsh0TbaoNDLl0GyDzsTFTErLseLJTFNKaH
Wo3f+s7HRQpMognhcZNUdQwmGslFQ5gSverdlF43XjnBTbEJ/UGbc8C7Esobo9O+iNqOd3/45B8s
+uqTWzpJMAZbStf85bKFkOuYGOXgeZoS0skINVsW1iIK+VRa1N9IuG310GsYg5C7ZsisEjHhWend
1TjahIQUd5liHuuab9CwhpOvaFrWhI6Y0fSCjSdj6Z4BZ9tgvMrs8uS5ZFhS49Y1vePZVI4m2Dtj
+wYqXltCQ9B3wfPZsGYmHYaX5Onzj2wYvz67+Mw8u9RiZfPfh1s18YF0zXYmt+ze83XXzVTxybex
pGxth4cZOCk7Jg/9nG2PmLs4HJr9ffLbky7jTTUn2iEs32GIagddfzFjB8xhZbxEgUJbWchnfNvY
OJ1N9Ld0NqGVobzvgp2vf000DxjliOxkcHlOajXSaFIDt7JH5yYUhlKX+T73W4ldkZ+JJL8Ze+/G
L6sH2R0MJGWimFTmiXs0pU7iMDLCcZ/Mob+0ItdcxEN9OXT9DaL4B0YGgHUaQFoINEtxp+v2A5y5
uyax7Z0PlXTpFN1aYsBh1AgqDPN8IzR3M7uVtSpNRBSdiB9p63sGPBVJG8kLH6wkZprUXzWkUWQx
pTe+yLepMiv4a8W0NsI659gxSE4vTe/ahZaaa7u+6u6FTuz7oEkiDuM9so18M1YPdcx+dhK0l8o+
uxR6jUdslpik7MZkCKTdYmBC8uG/RY39VrrNtS3unZLJSF7bYJicezGLZzePEK/740VuoDgLXEJ2
JLpoWubdgxPCjUps4GcAZdidGDX+0YZov2j6w1X168LlEQ5rmSzFwndc98PeaGxDu8M5KLedkJsq
H7den2pLIx7vgxHLJk3eZZAhhvv8Wv7tq9o8dW0d+AkPgp9XZnTXvefPKY9dJvjWcIN65HvH8HCc
tQe4T0+p7zx//oq/qX3gq/AkABcAY0Z8HNm2oQ8cBgf4thEw2Qqym6YxuUOX0a6bV9vt57Wv73Ui
STFLzNefv/ivN65ne6Yqz31ftyznw40bdqTDD33Jx3XL5wpyB7w17QLRtrapJK0KuUPsrg20Lj5/
XcP65fnAC8OUoc61LMWZ+fk453qg0YvgOIvOPfncYWsrJ0YxC6fxgj7EK5gfZ2n3cDKzCKMQiyd0
z+zV6clL7Iw/vZtfn/q8G88wPAb4BlP8D++GWd5sONAlt+NIFaSrZSOs0rUftjFMWhgv2dAap5Ye
FJvTEr5tsMoyD1R+NNyXDr00eCKrz4+Q+btTQz2MW92wLcMQHyqRGpj5HPduuzXRIWBG0taVA2+6
j/vHKpy+9+2A8awu4Sw5ZshzL3vKrfJ2Qq4HecN4SUfgfjt6fJcR7VziwAzCDB30O5zXldTDeyMx
jzLWGQImRr8dh0Ugg/yoEj0jEYxrO+VXf/6RzmXNz0UBICX0D+wILZ+92odaJBQamkqUwltXzP62
WMmwO6EvzNcQJ3goMxBa9glJXL2FayHJRtCYragXma1ufOR/q1Z3Xk2ly3L6AvQ6gQpVJVeO35Ix
mlsEBmTZRreZ96RhYF10wrvXzdJdh040r0ZB/ljjH3xa1Du75AOH4iK0lD0ng33CMSpV/uHnH1ml
VX+og/jIvmFYFq0eljP18x8qvcBoiIjwhnbbI3iUUbSLMAm4kTZhSzEIVqiXoR2Ji2jAQdIVhJ6W
0fck1lYoLaN1D4VsR3nOeCkYYc7XDO45Nkj9+wkLUFI+52PdYTpmMyuZBcrsq+YND02UeZdZYbRr
5gPUP461yiumaqZNV9E28QM4fXoJ3SRcVwFcxSieXuc2Z/CTCpijQYutUG/vhtJ5//xonKu+Xy6A
H47Gh/tskNkgcNm027Az0uWEmn1pzkjjSxdeUMUAd826UC0HAm0cHABqfmkuXdd+6BN59fl7sX+3
0lOA85BmFTKQR/98ZrypF8Nkd+2W0OKeoZs37YWZPnWBv3ZqYzrEdu8uqxjhLdkNLAiZcQUtIr1y
/eoCA99u5o0fAhChCxDvkq3qtHd9NVieEUznqsZJgG4iI/1qm/ySuC5fpdH1F34oKrBmDn6QQdzz
a+8baLur2UUpHfXk4BgMuda5B1UPlDIpjeaVzOxgY+fOc17ZAA59BikW7E/IPyQwWvoF3H4FaCPj
xYYbtRnJ913E+pMlgld8TQ9Ol/Bsr3ykzfVTh+TbqqP4ENfWUjThu2ck2eUfju2vF72jI1sR1MDg
4z62NW3To7udsJx6In0NA1miw9GjRTlT03/+Sr9ZJB0KbuGzUea3fuRhtVnqICVgyFOFBX6gGtsT
8tEaUr6iGEdVtChyxBCiEPefv/BvSl56Yei1TF8IurcfN851gOaDJGOW58Jedz0Gqc4bxQUctzfT
QjCB0nrlmohdSQjCSxTq8Tqf2MkH1PUk3JaryvXecc3G27kaneUUNcm6jDcBzso/LLu/udAdXZgO
yjCKCza2P1/oMkSOy6C23RaRwrPW+7JNXkEyXSv9ax7H31sXc9Lnh+dctHy40+n4EcCOlheZ6scn
qt9j4I1j7i6j707MR1es/SsEMYBnsdt4gVwqsf2GFO8dXYZbMyDop0WlQg4X6SelQDTdyFUUyX7T
BBSagFzuY4PhhfanEujX/Ron0ubRiaQPlejH8itGs25HPWvS4JXASCpYvNiHyZ7T05gp+5+wer+9
YtkiofSj3Uan7+ez4fikX+bd2G6t4jhI8ygEr2oWzonF2QKqgDHWn0d0xn+6YH/dkXsOExZm4OqE
CO/DegfzOywNUbXbfJZPwyRuDJfdIdOedBmNzRXbFVzK7D/TMdIYppP6AV1iBTSJffjf0IDWWVo6
QHLEgPPsVH94VBq/NkV4gy6bR52b2bM/rhrDRNRU1KbcUZp4ZVUhEkvIZJNW7ZF947copjruhbdx
TPZr7nRXkUkQgL5au5hu6JBhlJw4hJ9fyOJ354sKmTPF7tYTHy9kGfaBaRU6GsCOiBU9h2GkIU3L
2jlZjRPFayt9H+Ax7LGw18MVheNFZdJE7BIvv57InDDt+M4ax28dWoC7DtVWFLTtKSz2vmbN+9qL
TjMrzaH2627lEDW2jSk0TwXPBT8xjtJDzx37zPPnisdE0VPCwVBwGGT6/VNbH4uKHUI80uG5aKV8
zUb7GYF1eaFZifto1uH7TORS2hvRdiii8ZgZPNasZq4OZbVqa2qAzw/Yb44XelbHYTF2qaWND9c3
6UPxZBdOve1DsAdznKw7KLnroSBiqezs+zjqSMZovidkGH7+ysZvai2kuZCtsImRHPWxic2sj3Z/
49YoM4gAS/RO7GItCJirgf71Sse4GJrmsu9zON4B/U3Lqu3LaLL+8z0Veylb6NhwLN7LhyNATMks
K0/U2zSerhqR94zSdX0dD+RQuZHxOnoFoouywFtotn+4XH+3meTF6eayiXHp5X+4y02S2hK0IvVW
uhN6xzDaml75NanC8JDDH4V9ApcknGfcISEkCeBCn5+E36wyhIU5vmCyZwiwqT8vb1RKhfQjGxaA
ItpU/oUVLMnAgwia5LAo9T9+YrZCv9lLUlPqvu/6UH1Zx39+TQ+hfhfOBq9JtsTX0jyL6qRzPdK0
waDU3GVFn62MsQZ5YXs6l2HwjhYn2rtjUG9hafnXifZaJHq07nLslkDrIuAXVnjdmRLdTK1SFDpt
KTGlY7OxtAcPJEs1NTYyPDxGWjq6SOMkctGgujOj7Kmd+gnGRJO8ytHfWFOLwjUDEWdBQOUJqLPt
Lcb4oZDVsI6rPNwRRmU9pUJ87R2Mboy58UOyJzpi0eAXCSN4TV1tm6gcQV2/pZuj3Qvi1Ynwth9j
P00uaH8FxyAmIq1Ewndt631zM+PoW3SDdcNgo36QCO2UG2LsnSfPeuxmI/lGpt6yGfCzdfG9yw7i
phxsTYmjEUTnBXtuLwr828T1J2LMpz0omOt5nozHtjDiiNLTfw5Iw9viBqdFZApxBez4kUqmuyCq
HW+rqe/tqjMupfS/sAlKj5UxJgdvRjjME7J4HKfkXm9CdNVwKDe+AUAjom7LJzm+4r7IWDswj8hZ
i8FAZgOW0q68S4hSIHZlftNT4wbB+ovMYxxGpoiPpKzEx26U79XUDjCzh4zoCvyj67yKSWIXRJXG
JTbXBcnszYp0M/hLRj46CODQGmTIdmaUfgdGbk+SXJOtob47/5Ubzd5yDkS+snQ3PvFkj08STNrl
RJvk/FeGV9mX0jO3mZJRJOqPUhf931+d/y5I4X/BP96i7NgQuG4faD06h/NX//5jyMN+XQ305Dy7
yjcIN3nsmWWMdGKKj6EY6XWGU70Og7TcRxidSgxPskQS0Xwhi4jdC6kHl3FIhtv5qznPs3WWYctO
+3C+gkE6X3WEnZZBfXX+GyZ/01WcJWLnzemubJyDLAL7+t9/1AXhM9QqJzdvoWe26Yikn815OxUj
NW4lHsaUIBnp5ttBEkolCexBecaWiqC1+nHiDGwi1w3XmWEH+LcgHk+F8aRFZblvsexYGmWyXlUa
PBxDux3L+qbPXHksodpfGw29Yz8m5HbUrJUN/+o+jFJo2kTl4UDk25wS/zihyera8YJsnlxbIOoY
rikTmmHKtIVM4u66xSumJ3uTZNebOvNtnHljdtFXdbA0CLvdJLqT3IiyT25oMPXrcQJiOE9IkSun
j/aWHvf7YK6SJQph/zGbkgz+ETltsjCDRydptWUhJGrK2du2GJ0eJwGUPgn7+VhowfxopqAhEULc
5HrTPOZfMvWXoo0IqewKbgbwxzXblwdA9NOdI4nrco36oZ6UiY4UTnrkFoEsZceIji3xldPG1tX5
K0rXgb3GwvXaeGMMkhqJ8NHm4Nazu3Hr9MtZKOV6RKvmKmp1Vi5ESUYd2SghdkbZbG0jIp28ch9U
j5LQT+yQkR32mwTcy52eF+lC66+7ksgKf+Zj+33gP/RRQTrX6LlbK+WF+7jLVqMxVEdtMuf9WLWg
SvcwXIBp0Km/kX3ffQlH8dx3wx4tZ3HlAP88lS3XSWl6I666XB7bAZWLU0XvkYNc1BShTQ9Crzdl
aJNriGiPHbXM74CU3kze6LzkiVesW3TchK9p7bM9PuKxydE8ibVVaTSOi6TfBnntvXTRZY0zhhwF
fdyAI5E7YLHps01yeKv+3rGocrNKzst+ZFm18M4+OALYldmYaL7JgauaOXkspvgLC0kGoyPgf0/v
ErMk3ZzUiMco2VhhnD+O3dDdWF58jKbHStTGPSq98sojZSKE1P9gx3N6SqT2dv4OWE58LNqsWMBk
M1cDXsitTe/1hocMSmYnuEPhFdxNUhCnFs0C2IIWrUhMaqC5dOQx0FzaVaYxPfiBI1ZxXFnM28rp
AV0mMnZX/4r1nfjBMmnvOpiXR1/Et03bt3dS/WGoKOax9MxlGKYSzqdN27nwh8sB0NaiVt8mnUzu
MNCtoON88fOm39bQYHaD4z+PVpGyX3O4F02Igppwd0aYxl/bb5zoYddrQ8fDxxPXgeOyH8dKB1fh
xFgOOOWYeluvlowphqbGY9o7B1vzqrUt42g1wtm+Cr16ujp/1UcUMmWKN33Wks00WszzcAFej3kV
XTnZo1+H4SbvbZ/WWGju9d4y9kBZ0BXX7rxyNMe8dAyevX5NtpE/5e7eor+WVtHJndxyHxpptRdV
rhOSmPjbYUr+L1fntdw200XZJ0IVcrhlADMpyrIk+wblICOnRqOBxtPPIr+q+afmhiXRtiyJROOE
vddej6XXxKxoh7tNUM3Gmd3g1NuA0Wrf5V0aLNntebNrXf40KyYa/cRcrs8Hj72BRZ7qjrSE9OxG
/TZMLfvgJsmvJZcnP5P1tui/WgMuRWJxz2HOxg9witRwGKtMxHTU0aaFf527Mj1ZJkJLsNZkLbX1
0dbLXtBGrDz3gc6Odo7T/SVB6LUsYYSOlY7TJf8ytNghuVt5JO3B9XT5Lqj71ExGTxAC8kR7r5Li
PGTDh+wRa9vib0FkHPdxGpj1LN0f6I9fTUM/0GfjnXJ+08xIUoKS5G2tYAr21JBG7Z7DUX7YWr4s
02Or3N2qIH3cddksJS5KEjSUQfkR2sneXbw/tp3tXMg+MznMKuJYM/41Kr9qO/y7yJn0KqdF84yK
cwzCCc2otZ5NfOqsQnNMna3aBuMCm1P3R5qh4mi1yztBmC89WCZMON2hFMvB0dUdjppL1EleddNh
Lkg1KqDYEVm9G3Jjq5W9w48F/5uVY6C/6DjveL4neI9Ew9SdywSy1uQZDpSsHj9W11Arm+VJSYU2
svtelj14xsJ7LVwTWe6A7dRSCVWBx7yWNJTNkId/Qgsrf54TQrRU8t5Eyauvl35jzNraDQWViQF9
nCFjsJ6YxvVteKuKMdwuyyTh3tcHENLH2vEVu0njls/zL7LqY68lpdAUmh/IIQi0M6+MSlDsh7vG
tDfBQu8ZDTj4pxxLubIPCF+tNfckKBIGnnIhEAhro8dFZBYbFCHtuu+cF1Og4xw8gu+UBfLM/rTH
8KoHhD/K461a1o90kLIYiFfuryjim9icAVGzqoL2aygoCK199Qz6iEZ0eTwo4rw0HEGouV8w7bpN
Gzr/jMYh6NpDzVgu0bVUy90cIjpky7NJ0yYS2wZOXTYAdcrkgaidAY+lGWHKKjeIzQMX0/nLJQBv
eAQAhT3AQfI5tWfbyr/LBdqi13hHJoH/GkbJKSFww1h/hQXhFAOxmBPGg9VIZYEjUcQljuWtq4Z3
Xzk/e6tDYECCoffq3nKDZXQa4ZSapnkzm8BlcxuTT9gRd2F4SEoLIq5C6ChDt8FCVV1UkoKc9X+h
4khX0DbxfPleuupHxW3X8jdWMRE6pOXZKdxqU5jzp2cZxi6YppvolAMYHLmD1U+nseW+1KngUNu5
2CVNBQ3CXA5DP/5puAEWnc7vUoubKqoMez2xLE3fzady0vPp+dHwsDCk0XhQA7eeWUDdBQaLyNZp
T3lAm8uc0bO67lSFroEUJDtFTd+uejOAZ5BHzaY1mRk/UlBUnYpTOKYClcGQwmwBm0NsGk+OhdOf
OpmenXkK8QeBnrUMNOgTebkATMr+ZNPfEPQ7dcCuzPESPP7D3tUPoiQy6tqaPa5SMBGzYDDeunCM
Hj9FVsMgdILiD6uB/FSkc37y6d1Rpg/jRgllc1yl5gZX0XDyiLRD3veQfYh52YKpvbYkqNmpMLZD
Uv9WKYTSIC37Va3GFmAhv4SyYLkQNa7HFsWA9uwFGtCnBw+8AAYJDb1Gos8S6PEXaAKPofCbFfZ1
A7bOuNcdspFpAoLhQEY9PR/YC8YAiKO9MDyE9nV+ENJzkajVVQM3mf1/L8LmlHvGhzCSKR4enz2f
ogU/5w3MtUVgsGwJYFjqrDmF8/ITahkglBFhGYOobjsS3rBqk4WA3OLxW+6Hod1Y3dKc+PaaA9zh
TYD581CE3Pjh1ZwkCP9T+fjImrLd4mVyj2H+MyQmIOYzGKSPh3YJJGYO672pwDaYwoMe8Xi+qCKO
yueHBJFtGdMF+77R6UmXZKw8PwI0RBIK1P1kcuPBtaZ93qldIHq35dXoPzLQXvF/nxpw2E68pca1
63gLSgq6vBBJhJEXMMV50IaXn+b2oyI78b+nQ+lCtvALQSQBIPBYus5Ar5EgAAR6cRR9+duiMd2y
zADzPqqKc1xdnRKDZRYMlx6HPv4YdmjmxMaT+9ojg29TScfYW7ziq45Y8z0YOBfpO0TvpSKZMDTD
C5hrHuauXBWQIeLe6Gwu8hLBxhAIslW+ltBKTgz5BHHrgni95lD4vRl7CSDa0QmP2ogWctowQrrs
Hgi95wArzT/TaExEPXKwapOIBVvGc0iCcZnkvJskZO3IykBPGH1zxN4VlfQjfLjkLogKLuLm6D+f
jVIjLIlSWprj81mg2w1OWQtqX8KowtDQ00wz2z+fd7LG4qJ4/GvTxxSI4OTx158Pzy///MicHKyF
5Pj+96f//T//PT7/aWtYzboeDbH+78nnP+qe3+7/vlwHcGhjTwUJBv/3e5uf3/zz7/z3nXi6+vDs
JfjvW/rfX8ySzN/Os/vR2iqn5n58wzBP9oM3c5tOO/mfIeX5UYXF5//59OlUeT73//09pBxVPI7N
9+fzz4cpFVAUnv/i+XmQDl7cz9nt+dSSV8sWGunvQTa0yoRGrOoocKHA8On/HpaCRhrENa/280PO
9PHoRsSEhpVzbC1q8awf4PFgBCWctT8rEq4uaCiJJV28AXhGUe/m2ko23Qwix3zsAudCu7gR5b+5
INALuCEEo9r/w40ILxmH864UxE/W5EBjZ3RepLaGuEqa+eKHdOIdS+4avN9KDOS1ug/q34TAyi6n
L1xM5o5YTdan4cL8fkNyurPOzd8hrcstY9RBn/2tDn5QsWUbwUGOh2MhvA6uNzpXzh6/rL6GWV6F
Z98RrCD7nEn+IaL9o2ViD7piMWJzCX5GwYtnmXE797+TOa2OiSZbFjcZ3X8iv1dE0hgjFs0CtjO0
3PyQicXfkSnxrZGIi5ql39NavSzaiXMwQ5ChkmQ1MTxxSEetRCXX4WhqImhwQviJwuE3r2D4y1ve
RiTakDKgglrgput/598m1d/J2ADBS+ByE6UvgC1J4mz/Sdfb1mQVrbh/fillJbtM0niEjtyowT0W
AMnJ+2WLMKOwoLFjWMSMhYmYoEKSNKXEVVttG55rp/sxj7fRbF4ToGs7kYY4CSFFvOBp/q0aMCRl
2P/t0vHNkL3ejubUrfNmPqVF9qsuYqMWREaGD1ni6G5skYlt3Y+7oAVBkgq0CTm1kdVMBjGoXz4h
fPtMfc+Qb72m+MhACydn0geik6UPZIyjRnLMc4RxY1tGBfFqY5tvAPuBCspzi9vztej+tm4Ks4AW
OLY8CFsACKv1kgMrVqYKdlEqYAOXhL5hVllbuITtQZSMtazyahgi3ZMz8YXGsbwGbtceXUEkpJrJ
ZfbUdHcQnuV192FU3QDma8TdU4xUO27fXqq823vKNQ+6JKiqrt8NvoWTx+hj1SV424ECzNvFrdy4
DYpkP9jdL7pbtWGH0+7SwFa3nGylByGwMVjLQwsC/zIHYqNYbyJI79ko1gENYUvvzgis3gqmA/xB
/kZDQygla6IV1vPhlKg7OqaIyoTaAKnByRf+d2VjLC31ShsVEhdzU4ywYRcE9esnZ7j2m+7c5ITX
EdFJHVwysoXutVqYJKKKyn4EBY6ranHyjVMIcZbMh4YQZZZbP2IyvRR1OtTR2eqgpv4u21Hc+mRX
JKIAwWhfx5QJwzAb5JaZ7dW0UH8oz+LozzJA81rVBFgP0Q7ta7TJSpdMASy5g4sBKcup98mSJpCY
8tfKP5wZcWnejN6mINttnbUUqSJtsKH2VWwY1cD0I+82QTuBtdO4VdtufPHsSmwzvkjEnOswjjA1
TahbY16FW93g9KxC+/oEqpWY1DapDwQ6IZNmX5m/HhqwjqiFwuC3Q1/HRL9aQFAVv8iU/WG0HfDX
2T2OpC4SAU3UXe0j16oXcASkQXEZ8e8jkIaESGV/sjyJZ5JVtpTc7SbLo+CSAedF/ww7rG+QcwK1
Qxgd5UC8IPp3CLa5dbpJ7IpZE1ndLrtC5iTq2NPfPG/1nRMQIYwax5WAIn3MyaOP9aSwdS21fzDo
5iwU35jVslvq9+3JUhRgjmm/u+AF4hpfy6G1Ro8SyIj2WiWnfiwIXIyK7Jucnb+Jd2m761CwxzGU
B1AzcYuXpbUi6FoOoTEetZmoubQfV9Hk9NOhn61bkAqauEiBjguCne9oZJkUypf+8TCB2XS9Y/Cg
RMkgcndGL87EFZSX/x5szkbpRP+SPqPAYgmxNaOJ1R8gTb5Y0GfntkGm4uVYmVkHBqwAGQ7iAvcm
SKcDwvkTDSVZPCH7izpNIC6QO8hwnZPqUU3aO0+kh0gwWbHzGj2CQbSuTKdtEwR7XzdGLPL+IJNR
rObml2thHe2cDvBhmNmb90E1fkxeCyx5wPMElmcQvUWKzJXT2tAFg6Fo2rvm+Es3S3YIEsXXgsKX
RMP2mZvEs9uwg7LcjVjnw4fr2wxkdcqdsiXFN4/9PB3+TLX6Y5sz2ecUO40Ju1PMjUWdqL9am5xc
39npUvvMQgHwE2Vw9gdgn1SwLxa+8IK2BX4D70h7hJDAPegTnpIbAyn4WGRxyRKWGulUFzt2OQZv
N4we9djuU6ZeMcorod+GhFO2yiTYBTf9wbCRzJSMxKIKALwxLzbbnIiwnkdOnL1rpM0ZNXJlRnxN
h+Px1vPr09mNMnWKu5GUOtxQ0J9KUtWH4jsjb8xHUTw2zi1awghlLYixwM5Jkuym65S2AxVDFG6n
+tFjhZU+RpWxDoxxfskGwoKgQtgyvJVUgGlliLtwuj95GfGmc1V5mcvhs+yLfKcZvsTtqGKPqdmW
OjklmxRhnNBdGPeldclcupAW+/vUTuWJHB1WBhzamzR1F4hU6qgehD3NpH7toX6+AVzZEhTzai0p
+rkCzHn3sMSoLre2+geWjvpVsUDaFFALiA9rGiJlDBW30G9VKOPzjEb8oNLy72Sl3dqxgFdyTbDg
qZzfVRXZO3cSnLHMuvaWWJKtDCYwLuRhMZfRB+9hOB5EsFaySw5GvRCdHs6/DS9yTsQPROcZ1Hxc
oalEjWWzbJujdoXTU14ZBZjnsupJkk+Kl96lh020fbOidiYce2yLlztOXfAzrFf3qVc8rL6WCcnC
n+09zi3x4iSvSjj1t65KN1WR2i9oFJpvaOOJtmmk3FjjDzEm3ZtXFONlzvIfXG79m8QXfkJn0kBx
/2erov7MR9UTQg2JFbhO/Ykyrt5I+NtHR7UEgFXMGPqA5Kl5sv4ZBESGndyKaN6o3gs+az2kDxEg
U5KAXlW38y2ERYW9gTApg1ESSbnF3rbhwwbWtNwcfs0rr3DrQ9VQQmq+0C4yqlj32U9vJoi5CNW9
87P0ys70KueufiMEas8IykKOVv2TngR3OIo0dmvzXylvBSL+cz/9ZiAxXMoCm5YkKjfKmgj/NL5x
b4QaUuTzwbSGkavLxL5hYO4tWGYRxZTuakQ97LYoO5885khNLEloXppHrvcT7JNQpni8cY+m/SeH
XutpBeOjSq2tmyc0uIn8aZNl7dt1e/UsxoVJLeeDNywHsCTxnGNWKvUSG13mv6iCMDPt+AeWtnsl
p1fP9eRVF8LkDmKpuGu1vUpr7q4JfBe0e9kOs2x0rnpq2Kn5FHZGTDzDS1SV0b7u7N+BJHYgKpzL
7DzssrOz9adR7Ew9qiMg5RHgD07kMXTP9Zx+Ya1jIBoE07aE+Ye5eNpVZusfZJY3cVpJwuJHf4Q9
AX01SXTFPGGGmd3GMLTILBJTcVOculZuefc89zxwtXVAVGLhxqCO3Y3BCgyhid76ueuszWkY9wuu
+wNSnsOSVfaGrGZkVZwUk/Bjh1EVgUtmdxClR5h7ot+z3vJODo6FVW0/gBFzTURSKAjzG/Lum1XV
28FnpNyiboGvC0qfRVW+StE73iLG44ToDcQYsXizCLPhRJqRfviKwYfKXkM3g9/bbgYv+rLcRB2U
w2R4cLyV1DlF31R0G5sue925OdVCyG3UrGEs2+54sUpDx+QDkj1Du3xaaGeRu8IymL38p82I9eCG
0c/0GZgAIDYrspd0xixSjeCTWLTXFBcBE5WO7o6OFsQIYm1nBkg7aczqNo1fMZQIcj2xc3Kw83CD
oYLOh6QEsdQPgY6nhiycqXwpij64ip7oKQvYmDkAPxHGhzWzlQnEvSDbMjac+Y+mVjw3LY0nw7Vz
WCTLtkSOs+OFSfbC/UhaEnyMPDF++tNfAmj8D6v402mIpJE367MbqvAgQJDbSJi5qZcZKXU4YCy3
+V4383BJZGm9qumtK20MEMgSLlkRltdacpIwyt+VCE7udTYyHnoEOqvq6oX0cmmIapqIMxBv9SDv
CRXMP12JgLQizQTbQ7zqO6hGQ4P3b8d4QXlY3oN6wU30eBgIWYNoBb2FsjG6Ruadtde51uY+FeCi
xbK8dZkszqwo9Ktwl7UB7nClyG2FNO1+9sMS3p8PjO32RWl/dbDTt4NJcjo4AQAEg8YMlGqI7MV8
4X6gXl1lHjM7+zkxJmZqrdjQwOwAOxcNl2VMavoCQ2xQA/FrdZp765TW2gjGidHwyI6d1Kd1W6F9
DrspPFAxdEzliIiyF4iqcYR2ces2jt4GvtnEI5CvswNqU5bhcmoYFG9z24ToZjLzNA3FOsdj3dx7
2c7SJEeU6EYmlpQ9ALMz3tH5GKWIt/Nu+sp7qGXOvJCd0jXz0aNhbfN82Kisx1YLT3UzZnYaW3By
JutUVmn3rfFyfktrB9PSWYNKJyA6i4XXJSs7B2G6JBnRTUaSnvOwAcrk5MC2YOxSCkMg6j5ZvnOK
uKDA5qKoNz6mb3LGtVyzHyliu0pGCH8FGeKaZZDl/UaLahy8rAt3s5Uf0RuI0/PBEFO07mZ+MV2b
1/dat1sf4c2b4oo/FmogRGc01VHn4Y8mSb8MzJsvleMglWy6A2KqliwmZ6JkJMJmgUW8ARI1kgxi
szkGvULuYjoD7++hLixjv/e6KWf8z+RO65nZa/bY8cOL8bxYFsmwkxPVYZ+Hn8uwXKqxRfbuTGT3
BXnHUqT5xBgreUtEBMga1m/tmtS/upqOkp54RxJRvyn8+m4vo7jWKgdcnLQnrS17o2vHixtOoV0z
lbChfPBDVp996AEWnCOrYesYCPiSsKAUKiaARUwkbl76K7L/9YECeg0eb9f41Q9Snjgi3bn4wVy9
Wye8xSbXP9BY+5zeGP6mzCG80nFEnNXTW20V4gLGa/FqUk18CcKac/SABYbpwK6UKt/jsX9rgJRt
ksh21lMA4MeToR/npRwPBSlwKxmZ/XU8mXXwFY5wK7I+8Ta2p99cv3YPoxxXoTkgVnhQ2+oG5GMn
JX1HiE5gRPCG1EZCSjH8lHXt8td3UeG2LMfpHomPsQfd71pDkqkC5uVBo5Bp28VJUQkMCwGSdbqi
UpaIchDhMddagL004F0cQWZUmVu/+gQ6vE2lb7D2k120I20cOF/U7jv3EQjYAoTp0JnuqmTZq6br
NnOH6J3MnQlkfRR2O99t3X+EL+EfAS8IyDXJHdLVLXVMemPfmtW2rBhc2TPzHz8ZL6I2fsz1/Ce1
mYXUYzqum0XPq25xrUNr6NuigujSkVN7tloZblBT1Sw0WaKS/hE3jp2Ta5M9Ll2CJOZaxM78WbQ2
ZUpw7CXpjoHbb4Tf99zq4eC6xNfsHcqpXE/bdmrmvXRwyPuJjeSSkQy1BPq6bgIzyDa3JmN4VRbZ
Zz8+ci6Y8dOkoufpNK3cHF4rsehjZ5a7MtHBKfViyyL1d4Fssgkahl+2F8m9ERGlJtvG2SXiQUnh
HnVsPfmXebi5C52eDFsnm7YTS7aqbH+xJvN3OnUYaxlYa6iCtqlNOFLum6faA6A1gzN57Rku6Zl9
7Yh74WQomdHmyde+zKAMlClyiNFwv8nmFxHh1REZLGyymtSnPuu8/fjo6w0GawqQyl5j710bOa4F
j1E4ntuCMXpP5VgHH5kRhYwXu2bXm9m86TsS2+pkDmJOwxMvFnlLtaA3MXvnphrriP0OTrxrEiSg
EYkLO2TWgylxnWWDc3ZR5RzqqX6JAtmem4ZUcDEIcQ0Cak5fzmcO4WU1J2V0q3LmIDmztbzoyZQd
5BsVlODN6iCWyYaDE9rFxsXLz/IzhaMpot1C9BtG2lXYt8EGQpyAlbW8WWzKHhOp4AiTtyanttX0
1Pzipk7T/vsk3cvEeuvLRR454Y6u9ktMN9OvcbKhLRWtsR4cxnvZ1k2ibGv3lG9pa/3OKlmx5Wj+
DjTtu/mRBGa0X005ZGckdmEceMXfyXuMukhT2RdY7r1wagGmW9C4wuS3bTe3pHjObRlka5s92ZBh
/h15V0eG6R+sJiPMKGL/UreETKWygw7kFRSyWAvXhI+6nLP1F3temqya8iVZCu7bimFRaBQMFrr5
4sifzDDWcLzKj2A6aCmCY2lJCwpfwasT9mxFgYxuMfAfo8X5JQJCV3Mzg1jW+RIhP6ShXI2HvilG
GnSOEurIe5P8swLR3k3X06ghQrFtOkI6/JQrMwAPycwxoqFGoBphG0mdx421jg5lNf2QlchPqdT3
rgHaJ/ruXOEsWBd+y4ZwoR8OB2RYExkHaUs9kFcMg3Tp/kksRjRuKXmVJ0CCwaRWvgcfu1SRc/RC
43eFkdjE0xozcnzg6HR4mh1+PHcOyU1oegn71RWblJXjLdIZqRBIupjQphu3T5xdwLKlzPxjWoeE
cGmrPQB4rADveZjW3R8muUvg4WDuWfmUQ5C8tgxZwBSVs2HcU4uIJ9KEeAfYAxdyJT6cADoZxr52
1y2mv25ZP82uz0Lf6TtUJB3nvivhVz8eqsn72zFbY/aX9zHDi/zATuYlCTv3nAnnNzWl+acS7t1L
zOya6T6MrYzwFzUV3F+VRT5oqOImof/BccYLPCQVvaa/Z96SfxRRC+9vBOXLEKzoHusxmb5J5KwU
TFVxtBv4meVAeK2ZikMze3enCead3XNoLWXPem/NLSNLFXEXcv4jKddGEX4klaA4nwDHzaVbrusI
5qTWzvciaPb1OMCoHMo3oubkjnUZCg/l9Nd6FG8UVfowk2BXLk31DpOY8Yp0DioScoURfJsEJW1a
l4HzyycXLC0DUx1isCfJbpVJOzuSVMbmjsSc2Og9DOZDSSuw4MKw0uLYAzQ4wxaLH0L2bTOn4X3I
Wmh8c2fGWkc/A4RrMKFSjOMz3gOsW+O6auW+t1vnNOvUW0X0YrJg/FaCRWDQMFnks9DTLK15iRaL
+2DQ7eqUXYwuDZB3NLoXPyp3QxvR6uAv5zVOXq9VUvlxERGq6fZc5UNnM6HJmuRClvXenN3oWFFL
HxTpm3jHydoI7OqaQUzdzyksOY++3ChedRs06G10do2wDGYF/gmbDKtdzZ6SFdQ8HJbOpVU2LgUo
wrVnusXGsZbuIAmgjoEIW5sQgB92EMVI0/+suFZeaosYGnvIDg0KqlvdGddaC3WA1jdcyUMAfdBl
1WXiuswgPB69Gq4gbERACGjhsvKaSXdcD5WXn8uk4+VR0t6Jhgy0uTGL9fPgDxXdZGAAKWulbR+4
d1xzTalo9t1LmxY3x2bou7jqgepXJ17MgLeQ5CDvOnPfleOFqXy/Fr3wvyU+y4lM2N/a5pFrOSE+
AlYMdDC3fjdFR2JZMGxV27s/yGwhrF4PfEv4O7ZNXzvvptpL9SU76b71jilfwkK+NQP6KfphMM2k
drx7VfbV+r76alvme54mIUugh/UMWuF80Wdl+M5hsOfyEtrubonmjpzZskGDaENT9dvsODrQrqNR
B1dAfWmcpG29ntW4SS1iOAxW6Uluvw159JrVC28ik+5ctw4hHgqHIEpO5yoF94+kkN5NPWCyGSCC
llHerX88aLOucMuK+cWdgUSak+l+X1CNEyT2jk8uevS4YDWm6kV3zkwsSfev7koY90XQEzpgIigi
UPtliqyUhF+TGIz2tUnofOH7ByePOecmxMzA+B6upm022dZIx2BDa+0d+kHkmADwti0ddb9AS1s8
qJWSkTMFPE2dPRn4eNPyp+VZN9zJxg7bZhbbApEbx/3PgEghKvJWHvJ2eqDbRLld7NLHQZUNexev
07eyXv4RMLfOQ9W8udHo7Hv66FXJtbyYyrxNM8dPQSoOVyFwTOhm7aUWD2GLG46sVpfkVIuOLcuS
nzE0llfbOqeC5XYrnRoBSXSXVUr4sN+KY6l41+EYGk6hn5gX5TbD1R6qg9m33xzPYPyMM+cQCkFB
I721TQ7byopS5/uso1eG/fKoQliMWARWmlyRb2iE390pBKNe9uWp95Pqbg9c8K0T5ZvAyZmQMc27
RAVpfcrGoDtndn1mR0uP1al9HVk6Hgtp39v5aQr2Nv1Y+efZT4fraELd48zYkIJhk37BXcSoGN36
aY7yDm3TxALLq5aWueAoX8mWNO9Rdhz8HWar6k/JeGrtz+bwMqgXclmrMzh3g8aztD4RJmLgtgRk
SNYMH/SLaroknRv+cArZsv3hpmgx/qE6DNgupemameX4q5kLpIt+5x5ra/hJR2CebME9ATzw1sQO
Hky6PUn05LwqHE5lpbKXaXbe2pBaz7UyJiSPh5AFFciN8V5w/37BBnG3yHDwYYQcyapDRVRY+Unp
KFjLHr/R4E3EJ6UT71oeUkm/bSzTtK/GcadUaR36yCteE4RxJIJtA85FALlqOfkMMPbaTydGMvVx
MrAFdpGTvoucsWtaD8mZV73BwdgzgHbL5meVUIgA68jvdTPau4Ht6Du7bWR6dyZ7vlve7BrBXS2P
XRh07/X46J6hCwi1N7ANXdzU/J6w0PzXOj23wMB78UcmfWow+apJ6FzZCt3LiWIolIneaihRm3as
r+1CJBWv+PigOJsXk1k/KY3jN4lAmd9rk39kPeOdPsQvNmkRuzDG6WittUcRqmrVXbqyEo8gc4g7
BJWurcJLXkTtkwzst7vMV99sI70J6JnvY9nMu8QfaNoS/hvhVndPh+GJPX3LJpgsE6+vkn1TAf5R
rlb3CXfJhO/g0xcMPssyv1u4DVmU2P4jqQqXR3LA/Rf7g+3/JTOn9JMtgTzB9flQeFZwdVPXvEBj
2pABxz7os3J7cfJJm1lbZWN+SqFIuqyz8ORMyPvGIQt2laHqC6RVtNueN37PeHMz7C3fEVMVO8aH
tFRLGhy6IbVW0RR1vzUrIp1b5jkrQB908CuPtrMQ2dz66DthTZ6c2vkTIhX6Du7aphrw+jUZigJN
xTS/au23J0MmXzPjoNc8ARrfNQgVoue8qkFj2nSZw+6G8ZUvhvoc6n9BYMzzxnFQdgKVIczHtcZd
Lx+ug7xwIDJCgs5t5RyHRDnfe5i//33qd9zvoMVp8N9q3JtwfTdVM9cHPWnMAnX6U49O/r3qXqMu
at+VnaSvkzOhuSiKezRlxg3wwa7LkjemOvo8OFGGPC8K7mWTZO/Wcxcxzt1RJc06qgf/LauWs4y8
gHFKqd/KlkkbJrOTqBBh0OY4pynAEpVGov9cElZYmAs6KPjow4Rg5hChZgMsMEZxOdJCe4iwm4e8
fPHEvBvqibzlqWqunsYH2ThscjVS860CLBiz3UVR6Q3tA1b/j1FDuOuJZttF9uQcqMi5JCg2VnPN
gj/RBscMle7alDOJoBG9LLW1vvgU/KRATor6zrD2keXKm1poebsytd8B7L7LMRxf+cb+aSGizYI8
ZDuW2bRvkKGthCyTM7JvuWWryYI1Ef6tRFEclmupRlIxUgreehj/8XIyIEyHgTfS6MRNTeg2mizn
hU7XfaGtHLH8eCfSs+atnNty635ory7f+tQQb9Rv6co0qmxHCtu4nghwjKdFLldvZlAmdfAxOub4
HYktLW5Q6zurHeu6JO1mLIPigoXDYwOpfwpfWpfng6HI1tN4IJlf8Bxrsr3oI7UL8+XEa1UdUetZ
r4lHENhY3rshIbaxnjnTLNoaP3DeFuubhFH6Yf2phvFK1Hj6nkE6v0EU+Zj9qNtUXtDib8um2yiG
6VaHyxkHbBIdQd4ULkmz+EjInX0Acy2iSLLGjAeiG55Eg5NZLtyVnUGuYdPaL6Nb/SoitJdz0Tkf
6KQyRHbfpKIjKXwrjVtHiUs2NLfAVcaNhgERUKaY8SyFOFmpcRw6XnmgKR/+Yo17l4S1uAzUDzoL
64BxzDkxskv38/x/2DuT3daVLdv+S/Z5wTJINrIjkSqtwnXRIextb9Z1za9/I7TPxbl5gUS+7Cdw
oCPL25VERaxYa84xtXzjTnhmmowkCRcdKI2T1BQTR9XI9vUwqL0S7xxus+aFbLJ8zbD7MzP16Hnp
r6KLch/j/+gvbf8zVN3DXGmON5nleIJUcSBXzgIeFz6Hbq0e+7wzIVIri8c+4WxHHUD5zXD5f0TT
/4loitERc+t/H+ez/UFvEP9Xoumfr/mbaOqYMCdhtemIP0wDMMJfWT6O9Q8BmI91hKmHRFLyqb+y
fCTUpiXILvrP/zDUf0AugmpqQXqD06P/rxCm8Crwqf4LM4Hkd0KD+G4qzlkTjpo0yP8LK8bVuUSC
0sl29Mt+SOAme4Dky6X+DR3yMCk6DDM3fY7z+k5FAD9LJbwjNfHZop3Iw6WtlQ1+CICOgzAK+kxq
6R1dDXejQioEKRp+0Lj6SpPa+3bU7p1eOePKlK0S3gEVQv1mVisPd/7PgoRfFYp7TIwh3mQRc/Ay
MZGGofhvpfZfky6ASfoBGowBhnQIZNIrMErXwCL9AwZGglx/G7EVkGCdrFsg6StRWtdKQe2Px4Zi
y2hPCnicTSMdCnwlsQZJAtkGeA9eXiI5Uv2bjkLoJYuBY2QXqTHWkFQ/F6X5oUkvhJCuCGaqmzlR
P80sugYZApRWGigwUszSUZFKb0WFyWKg7RWTucEEr/DBrMF5tS2NyRwN3iSKHqmD7uugjCCslHgH
MXKALKQFi7NDlR6PTro9mL+TeJpgAJFOEKt67qUzZEmPpXSKmFhGcukdWaSLJJN+EvrE5toNe9J+
MZsoKFdMzCcJJpTYMrZpHjLCXbCEaptRulUi6VsxMLDwn46dJRV0wpcabbm2eDxXVxXjiyMdMEgu
D0J6YgA7DH4jfTKjdMzUzML7BkWZLUgxBgq1xk47rdA4fjMHOTcYb/Qh8DrlUKqoVLDlWNhzCPLc
gVN7LUKH60FA6LF+pTZtTqWrLiipvGBprjaGnwDjT4UBiORHNgnpCcLfTS4CgCI46feL9A0lufMw
dua70quM98qtYd6RH/hdIetjjgFjJ7nDJ4jEH0OSaA0GLliUcqZTpvQsYQpYBXOzVVBtdpiaHDsy
uRTSBx27E96hrcnJcKix1xgYokqMUV1hJqtpQpKBYCA8ji5B3tJH1UlHlYO1apAeK4HZypKmGHX+
ZVg/M1l3ZBWorg+mYKVRYSIx41nPUnwgtobTqzKr/Yx7ahWM2QkMI8O0PtA2OUmum9YSkO/L+SGJ
knwTt0F06tVkb6ZzD7/Rg5dX71hY8nuAK39iCiDXTQOtXCWZ10ZLy5wmTbAn3uCNQHbOYjNumAmh
b41Az0kU8+jo02kYDMTBCmSfpA2BBCHMMULEsIwUFdzZ+N0U4LwrXswalMe27XvXV3su3zkgVtLp
o30U1bNX9OOHRiZQWPhpV5NiV9NljUR5alP1o1BCd89k7DmZDG0V24TKGHTCxmW5S5T4riy5difa
+rBclveIKEU/Gpq7oiN2ryWBXCjjvO4wf5cpIkjMLSlCv34XBPitAlapTW+398QZqTvtW5lBAhCx
buFAmoRMihxwNjL7hlJ1LDr5R1fT1SmSEY/wMJB7UO9CetM7RThA1iJ3O2qa4qk9CWU60RprM62r
NRXW8kQzksso+iK9DHP+VD9Os5Ne4BTR9nOzQ2NbFRXTUPM5nAUJsz0GYcqKWr/eCPstBbd5xqxO
gg9WTpfkycYKf7VdioW01F+QI4ldOfLERn2Nfi7EoMK7AkqkyUTRQaS4yRn1zXmJrH6oR5R0TulN
evWe9ba1MRWzP2bMupqSFNTpl7nk8ZNFXhAQKYy945AjneAYTBpX7UOEk5Js+26UWTgorvl7pEFT
SY+KfSRBON/kC9oBQi5qTWAWH9xT0g02X63j55OzOjo8aybmtAZT8YKVwvZyFppBzvlaPd1MXdQ8
kBa5DxGm+WqVEZo5igyttX0kSCaDPRnVF9FouzYsnpGykE7h4vUVU3kE37U3o/iDDRQj1RI8xCPR
npo93UOb9KLFcOlpTc3daLZ4SxbkvISw5S9dwShJnU4J5tCL5rChOG7wK08Ufn5DOjvpSrQqvpQE
TeHQ0lkVVmOtHU171tvkJcemtmmL+EgdjfIsRorjqmQr5Wp1cbgMdIBw0D1g54Av31kA8z1CtnS/
teBh6XOPwybEHhAEHU1ftVrF0bsCm/A6YyaJZtXcYFTvV/Sd8m3YTu+R3ZeQ6cKXYe4OoxvbK1QO
M85bJ1pbJH17na48WEubMDVVUY/VD9jueqJf2/HN1NvljKbhYSBT9DB1/KpaFDBYtklE0RzpUmzj
5blU1KuDk+mIFxap7VTn28pdvDJZyE3BrfkWVdqJDa3l0GbEh7m6FuWS+cwyNEwmQXsUHDBaqUtK
F4blNL7aS1Tu9aBIWUlT8HqYvLPE+uz1PsbixCnb6MjoRNsujyQkEM28fuSy3vVhG11QQp71sFr8
zqLv2FrlF3uNeF1s83kmR6EbpiOTl4J4D/dxKJBo6k7zmi7Zr8Gg2kfPa3tcS7uFWHeB2wo9D9z0
3No2qv3dlg2eTCHekkjH71Yl5xGrzYH5RrcM28iALjGbkNnD1lyX1bwcq943RmV4gHXLtCpzL05U
DR4RqsnW1ZgoOGzGWd6nZ7qOJ8ZPLqW/qVOJoCGRnUyUPsqTyhuaEr57T2ybQGcicLYoVSA8ObPB
E4uvFlcqR1Ns0n64wDyyUwO1aIWWlnwZ18tFQ2M2idCLd/s5QYMyNeNWlMo24KraNwt74KBk8VmA
D6yHZl8TO1eh72UYZovjFJMLhkddzrvTsnpX3aw/6/JmVutPh+6AhgYahgBNPWLuLd60FcKytTCb
CNs5mSUqbA1GFxW6mzLnmXH1ab1UebbNtOQjVQhdWkQp9yUQB5PTi3XlEl5mpFHDeUn4EAZYLWFZ
bvkboteweemj3233QeADiEu35Whu10+hrQP4wNcYGUyYGhAOZSkNt5EW+g0hhKDOs25XiTC9mPl2
FjZSmiKkkJsM8COUIqpKm3GATJLPk3JAjHcCMrWsG7trjmlpf0YhAxItkq9xmmEHxE7eZMcgxHtg
6git9JBL01YrzRdV9kM55DJsrhmXpA4MiYYnY0k0Ns1Ff230YvA7w+o8Q1H6TdfxVjGByjSA+rvK
2qNaOQDnH37rhBxq9m5oi+jNzCdtK/LYXMFJosYqBaKTYMD9ZQ2TT10Z7GKTOlsPyNjq9aohBqX9
lThGuDMqq9rpiIVQ+uxidCB1b42nbDw7mpiPSPCce3nJ0DmzgAo/jDXj9npJG08R6NwFJhcfMR8J
N6RTmX1M1o3esDEP2UNvCJJoqG43sAVPk02pr0/BdqwEFEgN0suclihhHHtTzUVxbYrES532nmlY
e831prx0mMI45BLpuxhPjtE/pcilcUFUDHa1ul6bkT3ttEwK7VzyqMqsc31GrgYyItFthUC03vbC
5hKovlB4pEdO88wtY/4ZNh/VN6PUr0gduLjiI4862wsqPdvZOfj/qJ3e0ITczbn+bkmxdjdGxToZ
Ulw6KLwdNXRwabNJD/1C8E5QmH5VsRUwsztoznQpc5nHNtsftGfXWpWn22VJLmGXeYPGDNtqemPt
FvuJ0kXJE79g6pEWwyeU4r0SBbjz5+AEGvkHjeCurl9qzf2yG6ZfRb/tmRSlo/MVjOVP1OGAj99d
p7/MMbTNgePGS+NaOFo/h9giy6zbTqGxjy0X8jPZ1ioRaIFYD0F3maZx10Tkb9pIYrpUORkUET2B
CA7NgGZuNzQ8tl3srGul3SpLs+mUbtuJ5cWa2pVSJrqnIslC0ezC4152pmE9GC0iGce2v6x+8Zyw
u5vaCnyEh/NkiDaVXt07uXhip+1wePwMFN5Yc9pXWJybpo86XPXBUTqP0FbaPONYRYteO1VeZdUv
8h/pdCUhke6muTx0yfhQm8Gdk1uxV5jaY6k1x1ZHhhkTNACJkp3WYGw8w/uZnQNX9u/ecv0wjK11
ygBc9tPQg6wHtd9UWbyqF3PjNNVjV4avY3Mfugxy6vypC68W035kYDjXw2NtmD/CvLYG6UzyB9ZG
u9NIa5xcgCB83hoYGuKDfqlJJ5U/lwP1KtWAu9ns8cqMd8B8bGbwnyT2bUYl0n0gHwijxookWCNY
KU7g5yO2HzTc8g3C0DSXCilPzPHRjuN9SQqaE4XFeq7iHVwej6PHHvVAhxSTjuViulsLzdWix6fc
bLtfoFBiB31JkbovA/L2rtDep7Z9G5sWgfpm0upPBKzPCjb/9MEONP1cKQThWdMvxZ33i/Nh2vZr
EEU0i/Onoo8fEG98tOZ0Vqiu43xh+F5tzSnaVW35ZczqddB1Wr8ULJgCHBElKx2MXTE5T9gtDJLH
9TesyycxG7tE6/f58EheFF6y6kJB7zsY8FajMa8rzfatInuyhmwXXaqGzXUJkOPkxoxlDe+4Uuw5
kWXrUGG8nJRYW3E08W5Iug36R0XPr23AlVLplIcq8aidbdWrdnIv+cGiprRLevCc9I5mqLlrtAfW
qKyUh6GSb0j9WvcSqEGEOEtEX6aATha/0giTqsMHWrk8Gd30CDT5yVnyO7uNDyLtN8ynNlZPumPR
ybbwRYXu0eh2zuhc2XVOfa5twgk5hok4htlh3dEaeB0wJ4PvYEppofo1jUPexu99qt4TO2mT5eTZ
ojsklvkglP6tTVGX4/cZhvYHwODRVIqTS9AhKVJn/tI7k116sqQSOf+YbeOszM7ZMuufdHpqtPxa
oyjAE3MIl+dObbcNjXfqu5XpOLj60HMa2tUV4bNit/vYTjw3dw9lz5WGQJ7abZPkoLaQ3W2zPL82
k7MLmfiHReqsA3N+H6LktmQW2N7arH1vFfVBONGnCrs4yHcAh37hvfBVYTzm2H/nsfxSkSjOSu81
Q/uELTJKswu5VRvVDlaMDtddnu8dM74vi1QeGJkUtL+BK92LPvhQ65XrTB92V7+ELHBLKojeE09N
Jr67CAfKojvPQ24+I83/djvlCzXNobCZxgaqV7ruXYJWW4zI6fKtmoCalRcLVoj3MsGr51C8RSZy
Y6ZJefQGfqlocbAZABIbQiSnOjyZJeCBYVTW0whCYbF42895iz7XIcR5/q2PvOXsWn0tJvpTqSUr
YElD1d66znnOU8tvFfc8UUwUlfU2GrXHmrYOq+Hcp4ZfZe+9knwWvCaBmz72ZeTj276bzRIehVts
e2VaKSpndKt/ZMEIV6GieUo1+W5VHBQxXUWKbDCPtq1R79Ru3iYcLIwE7pEbPCZJtE9MbRvq86m3
uLTpCVv9daLnjxe3Aq1vJxyJdODoWbyzh9qHREUPQWmPivlhn2k0XhydaoTmGBa2eISXAvC/xjFX
ZTCu0j76btD+1gO0CexsHNtNUCSTtUJYdayzYac5WCnMPn2oWV1zlNpryyVsVZm+8yx5qUCrbUPI
okgKURujQ55h76/qVHlq2DZXQV6d5kY/1KqxKTX7Zam4qucKrWqsbgjzweImiJy+r5KazDMGG21V
vCNO29hJw6FtuS6mKQFQCJjUh9Gl6WTUm1g0r+5U3tcG1AYrKTiZmjC7MrzKyPGSlcIcNVR2dORI
HhhZOOhOqAktwqka4cp37YdWintwzwvYwyLOLnmX74WibrVuvBSyk2/lJLNhC0s5Gk21Z6XP5lg+
F6I6zvZw1xuJR9DfOmmLN3denpJcezQr7Dr1fKoWJV+NyN5X5GSDak84EpUWY1GIcrLQqwMS9DgG
mmLXsZiIJPB0xpm0c3A2rQ3dvqvz7i0y4L4j7ZrMB8sYr41dvEX5RYmLY2Ky43L6U6EMzCMyd9Q5
vfGmAdsEs4eaLqU0EJuayOckat5w8jxVqwj6RsgaMUz2idbjGaM5b/uyfekoz5u4/XBEeKIAptIa
U+SHkP7EvdUQvyy/V6HOdxFdimIWE/GLyr0uvNwuv6Hk+Ylxu/DxQu0onHhVGNmOlvmjcqINg/53
q9uk8BleupS+7s6vqTbeD/x1PRuFVhwnffAdtf4JU6JmZh2uqLW8NnWBsHXxsyWgxBmuQpDZCQUB
XwjoqCQK1/Y03cnXq+7L90EML67efeRtdsZFssWLvu1LHDnVg14xoUcrpLMfN6di/s7M8HecpKtO
zT4DW4tRxWAqdY0eDzVHYXNJCDpE/SFrRObNhhcV/OuZU5QwierojOASKvZjMQb3mt4d4LnYsHwI
c1XK8rFrHheitrHGrzIFf5+NtEef2l1qFtlOizctnWxc5Ui7LSDomwLGMgAqwpCxruDm39BQkZr7
/hRoo+q7BVnxHNAfE/MDrcCFkysFE4HWcGbvs2Vvu8UjejSWq2F5awYiwu2y2iKB8C1RXFRFvDNo
T1dTN3izkX+n7XyY+p8QcB4L+Es2AOcyMkXnks22o4E9b9Lom9Y90DolYYwa0FfoHYyNDad6TP+u
ZwrswrjltG4or2U7nEqu5UNmcUBPJ8bO8eAcTFQNCuG1J7rOVHXl7I+12NmE06L9ocZKqI9Ahf7O
uuImfdu1LiTWXiEhYGH9FBqVkVW0GwLt3WsHzIoGCEtdu+ASrTnCg94Ng5Vr4azv5yJkVZv3nABW
jjd0rs3JuSMSvW0fp1JvfNTbkW+14a4nQRIlavjEieBricx0U7dJs+8HWuYhngy7YSprOAgQ9Qgi
P8bWp0S4V2J69e1oGlcxmpe2KbOVaygvtZtB6gvDp0VBvBQUL4EFINnqQP8bU694UVebu6SCSJiB
ElndwsqygizuRAJAkNsKDShIOraoFjK84AxRAR8CHShABbJvNaZ4sxSD8oejHrayiLTXUPHN+sFS
VJJLQf54ej8Qmo4wPA+J+W1azlOOjlsapj6CSYdc6LrlGYrnDW327rwKKtv13Kjeg9E0nsvsF0OG
z2Y8mz3AKNN+bqqezJTY2RU2LyHGH1VHKYfOlBMyJiRL3Lm2RSUkZzgMEfm3eGNpGqTQY1GihGXy
GVU57+C831saUIbOrgCPA1dcJ3m9N7KadBRF9aH8zXdELNm8Gj2QyBaNUZAEH9ZIeRrGCO+UtgGD
Y3PmnLiUjBQJF1HsiCYH6BLWRP7jIPKjVaaPWZ/9JAMxQ5nbblzBr8dEmU1NXKNm+p07DtvdKzI/
TgDlss6MZyUxX8oIixIQnMdWXslNw1ikcyQ3VMPQnMGdwx/XraZQ0NwoMFk2qMJTLrYGie5K2u7z
PvI4qeJGk5pYHFjGE/kcLxGCdvMKwvhoV8WlKhw/1bhkrQFGRxuM76invxdzK5x8R+wfFB0lkIGS
+PyzH7hE6IQJtdRcnkErLLEYFC/VCLZJseZ9r5sgjuovtriTCl1pramccM1mbFdhi3dDwxdg/NJQ
H5hXAge/cr31CDaq0aeyMMERQsjfPnC+RqbfIZWxZeuwgooBsww1n/EtvVU8P5IoCHIwpkjAXQ/5
rshtT42UrUnOGSNvJNsp0i59PzF0QOC8HSf7CeHZe9CCtY/L1VKle1NYezTTzwGBSYi6wRu7SN25
Ys6j02tEknc7HXxQME7fHKtkUhaO/BSbRomeYMwAVKpp8a65w95ZRm9UtYcxib/VMV/DF30ME+NL
b+ZTAvHCAz7yS52sXeqML0bMocS2SYNun9WR3cdtfinlqzGY0T5g52070a5N3sm0pIFv0rDbcDVG
0L34Y7GTcrqo0+RgsSsmgSHw8ylfdqge2qR6IHdxTRNkFQ3TmSHXq6BbuFrE9BNFzX1M1290Hpih
eCRHb1SlAUixNI/hlD3peX/RYIioSXRf9tnR6oLqbuzUPR3mgVMiXAH61QXT/W5dKeKAZZZRiGj2
NKe/RRfs0ilEkwXPNEaZ5I4d7wT9VA/ZZ0h9T5SUdT+m43YaEFirI99M208C4IpI362ge1NV69Ip
Te9HefaIjToVyfdc/IQJDY2CutHsaKfb1tHOtZPiCl83lBWyn3AFQvzckAvEHzLvEPR+YlqeVu1s
4/OPe69Sk2xN5tljC5IY3fAnelpWRnWhjgFpTF6kvDhP4YgXGEHj0VU1lChV9YP14TAzU2wW/WyW
0X3c2e/u4D4HiNJJ6sKEUcbAZkaKkab1MYpcHcVsVnnTvYQ1I0XImfUzGuVLYg/O2m2inVgyKZsu
f4jG3WtTccUo4Mdax1TWxJvdaVjVXSTECoprur2QYgPVxrMjb6AMjH/u3T5U5If/9ti/ffhvX3b7
ij/fL2636WwwesqlsUQ8xkmpgaThKWxq0OaBlhcH+BbFoWBWwIh5eSgSXDNmBoBKlze3e3/f/H88
NjE8yVYBbRF7jFPIemF5mKNFeMgCMrgtRXVw0OH8ubl9SApOt7eX50bthw6mmV4eMPzyDaBnAnSM
CPaEFZ0tKFYNziXy1zUn1DP+7W6V2ySg3O4Su30JTGfaBE7MouzmU3643WAh/ee9FoiqCHCcZS7p
oVW9d6ye3/f2a/65m8qfcvu4mjvZsMNGWQHWpYRrDhPgBrgd4183t8duH94+YTuEarNc/vPTrbxn
Z1Aj2C/GNRS3UqVnyYNV8QKcuGOiGVcHJmjVoTPh5+HlQWGQRvWBcWp9uN37++b2WA41a+/2X041
XANl/M4yvMmigQwSOOmdE9KOQwj7tTC+OeO7mCkA0GLFIwpUc5fC9FzlNN8yNJKD09Kr0seftHNG
TqncwFOC1l+CrtPm2XNdYDALy6RhIYvNJ4heaaoF+9ApLkNczYfGnEEOqCyu83BOmwl0h2VPa4S7
75NV4RFgE+S0DMTOelWHOTsMHAKweZRnJFmon9th9pcSOX8IdiRLf6t2fTAmxzy4/TgjoVoenGRM
D7oZdMeoJF9zrr+aJKp3QxGADmGa3o7Fua2r/tyZtcuKKo5MGUrcM7ZfWsPerocAW7bGj9HR1Ssp
L2aZAxkKmVxSk9psVY7SnssZK2iOztCE/bxXRvXeGLX2PFjNSStRjSz4zysd6S91+OoZ2XF2UlFJ
h0VnnAfdMM6wBHj3G9MhUMRlMarfdp7GPl/Sn7GReXlhnpo4FtLJfo27ydnbmhHcpXpABYT5TJk+
NKSGa6fSf1q9y09FSf0O8enUR5Qs/D9xpoBuwcyzmrq0f6OGldptP8epwRtrlMVFaZfissS/CQ6w
kB0vCK/pLiaDmvqd4FWBD0eJq3Z4rNO8OEe2nZ9V5Ynp0nSylrDxoipjpEK7rSBidjNo2Pk5n9sn
JOv2iR7pPoyLBz2sbVpZ9XwndgQG/TZoESyM2Faidglc1JcQ+wA5UzMbE6Vqvnj4MCkZdfr9WsVx
M8rnM0bw1Vy45AbJ34TZk8J0jvJGU5EKB7bTb2+K7BI6+dqt8oadyM1gYepv7HfqjjbdEwWIr8oX
kYkSShMGKjkzOf5VVHBlpbUw/Ntjfz59+wxKSrzwfckTc1ziXVEZGfzF/NVwne9eLHclLrYViQCP
cHNooTVnyGuHRAmepwn23PQpauNH7ZOnOQ9PKdkWnKOP46Q9xV2YrzpTe8FVXa8Ut/qwdQgc2kJX
tl4exmXoj3lmeKaikpNMpagJcOcMYHaKva7r7FAZ8V1bUOclNeZqqJWxAWbTxjYTq4O1Lu3h1Sz1
3UBeDmRHvcJDh0s4QiArAupUVLIPdZhNazK5zHXhDExQtOHJZa9SJud+BBFMs2G+1kQ+0NA6cLwF
woBF2OmslzEYT86cvo+KSZnKwVMV7VXLkc5ozSHbMdqmLJlcP7DgloxJi0LPqC65feoYo4LlHFzY
MU0aP8Ld8iAJUOXbBCnCO+5AHlS/xpoizM7Vj77CyGPnrj+iTfQU7egQ3bQKFuO3xdluVWuEMlrh
9BDErPzzVNLpC9s1BoO9Jq4BqlGCLeONopfTcUwXZz3lw1svjAdzeVgk2CNqwmuv6Nld4qLZyADt
6Hq6qgZ0xnGMw1U5qzAvWAgxUC1kgNWD8hpUTF71qGC2m5a7xlo+A/BTHFybBxJviVR9sKwzK/6T
2xV0h+3iecaIpczGXV1rSKctce9o0b7q4HFqVzBxM01yZhal030UKD7SUsyb2ebo108/RVW6e9Sx
ylWZgJJWPSM1VdePGqJQEVa7BUKXZ3HOQwOSXJZFNbEf8zRkMwps/U5NqChbfd8zCJsKrV+1HTjR
sqjWGiEZK4NDjhGTh2SUiGAreLtRPJ7K8GhTxXlxq4LiylP0+hNOHCOvf+BnfNloM1c9s0oVU822
SdxH/DzTLrJ0vKKFpR3r8HOINP21t2i4WO0hh0y/j/vJ8LBjvWrKuaY+q0oUKGZTf2e1xjI9HMoq
+q0RprWyVdzKTXZ1Kc4GfeBkHKIVU2INIxe4mZIDtBKl66xhB47a5SBLydZQj7PFyE63Yzz1DUrv
hpBlLMTtZ+J0dOpRiq8Ci2MZeVOr8NtpRXEEm4NUjcPPKhRGeZloJ6z02dnZAnoep93ioWmrZxRT
X4OZ/CT9NwF01mbQ58ATS7hj3TWvOU8W7JGVDtF7M3HiZx4wPcNdmr3MnW16Z123+SQyr9/UtJc7
YWIlrV3i5LrpokVT79eC4WMdoAtMZWKB9RmRWrOxOFHycl8q5NXvgaX91NFyEXGuA1poHD+Z2nXB
hH7VRK7qL6PKe7ujVyh0ymaaHtFchUw0ewUnRGB6kVERShqZPb9PO3kEFDkrEdb3hNumvqJjfcVt
pPuNPfuuQr7WAKpayZYnZUnAm2Dpg5J3tsou3oaq9hhZ1Mw6sIw12p5hbYMawHBG/ZYVP5OSjqs2
mTkOs7LR0hWnxEKiU+LkcExsBhXKNxcgu9U2JrMztF9W5Pi23nz0cDy3omruacu6O8PRLjFDqcaK
HjIJ9TSYVBDUGT4ws97RGXLOoY1Buu0qdZ+QVgF1rs93LpAM37EgxpUZHq92Gg+G0f8W9fKSEwHM
9xYHwuHv+mBOXrL+EpntdzgNTzXaAwo1MHijGvhNoG77JLjSZQHfFNZ0n/GBsdqYxAwCGQtC7atR
pnGVa/K0UIufkg7wiqJ09CdJIoVIqko06SAhpSm0Upz1/AnwS83CdFZxJ03DGe0JCTmNJe60LvYp
f9m66fAQzRKJqoQ/RQsilTXPAB6GLzRm392kEqWaRkBVI0d1TuQveJoErqoSvVpKCCvBqzOjYsCs
qt3icZOw1k5iW20JcIUwRgkD74OWK/kJZ7ov2daS0FdV4l9rOLC4dpSDKdGwLep8b7jxYnOJjrUl
RDaVgNlUgmXH8pWMM9Jxb4/Im0ViaPXoyZBY2kIFUAtbIzuKpmarCisAtj0k2z8fojnZNiaYW4Af
5oZDNsNFWfwBxZ0kFPd2T9BE3mFl8GdJ0Y1vFN3b3aWh4ZxLyK4habsL2N3b47cbsD4kTkDn5aNu
p8LrTSS4t5UI30jei6H6Con3nemn8hYs9qpE/1YSAhxLHHBxIwN3AkiwboML1iU42JYIYRuW8Cyh
wpHEC7O4HyMJHOYFuqskhxgOODBiiSWO4BPfHkolshhlSbGuO8kxHluQxjVsYxw57s6BdqxL9vHt
ZpAo5KkCimxDR8YGR6xbg2g/kOjkUUKUM9ogXibByuEAxhHScsgrjh4Q+LIjMcxASkZCXUAzY14p
j2hL4HNLcDN0gy8tBNdYwHTuYTv3EvJcSdyzKcHPqURAI3dUvV5ioXMJiLZUlHixhEYbEh9N+M8v
jq3FJkdFehw5noCJYXCRNDJgFAA1/W3GUxJKTW+hOnZwqrOx0rfajV2NK7I+DjegtXyWcaxBtZa4
6xLudScB2L3EpRQW3kFN4rHtGyn79qANPZtLiiZ4DFAb63LjOxKybUPbTiV227z9wJiOG0DuUqK5
B/kkhBMDgx5udy0B3g0k79vvnki49+0eoQi210v0dwsDHJ92fN8MvNO05pcuMeEuM99MgsNLCOKd
RImrMMUjE7h4LTHjytJfupxfIMY5pTOC97Dc31VF66xwR8KphVdeS3B5e0OYh5RzM1RznugNxu/s
xFi78hzA5+iEQglCtx26SWIKPS0IJSYfymDIHD5u1Hhj3psPwUitN7s1NE7xYcBaTyR0XVHbDQGW
+AclkF2XaHYbRvv/2SGKDmLP/2CH0E3dJRfrv7dDXNLsMyrz/+KH+OuL/vJDuOY/TIMaxtINzWUB
dLFX/OWH0FTjH6rKW8Oy9T9mib/9ELb8DElvwsEmQXA2iV//9EcY/xCk/FqO4AfJr3X+VwYJTf23
bDkeIFxHJ06XX0Mzbq6MfzVINEPqFBQx9UGJ7WMmmW3jXB2Q97lehm9tbBbEvQtIinTSEQE+pmD5
SPvSJmiqpI4QOH2cXWgKhWKC7ZnTTgJeaBma5t4NFOWgmn17MM0DISWN4fc6sbxScmpsK9VKwTMF
UJub7muq5RS9LdlfoVcbzuKZM6ayyEVmKFznsBioA1r6JrgKWLr0UtiHSlgvFVYv5gewvhtGRoeh
nWxgBNz7+0Yx15MeM2xUY4/QcGV3+xSOfdyWt7vEHgBogOO1KZX0xcUBeajm8K+bEEjAQTJivNQi
Qeb2YUr8E8Ra1qu///HtE7ebWH7F7d7tu9zuzYRfMPUpfG1iIc+b31E7wgUBHrZe1Cw/3m5Urc+P
kBnFzkrQuklOn4uf/fDnHgrDnAzN9bxggAs1emEBw49kWeAY5q5K9eUq9z1h9RsKL9PBwjH8P/bO
ZLd1bMu2v5LIPi9YF43skCJVWbYlW646hEvWdc2vf4M8get7Ay8T+foPgSAoWUeWKXJz77XmHLMh
ah7RHSz8f27IpY4cXUdEMREnm9l+1GsszsLWljW5PEZ6dFP5hB82t5muDQ5dmHjLoiey4zq7R2bw
qSPNw7AxD64upi/pnDHzjMo3uhWxzez37A/MGcRQB9lBlNCxKWi+14HBWCe8dibNIKXHHVsJiSNh
GNvhA71RTHofQ427XR0r+RS0snQaSdNcZjRUDMjrEb24jnciva29YBLjI5MOYZedFN4I0w9zgfzU
W2lCEyI7DU2+6wz1WMdKd+NPNHhb+SNgcQ2NmOVBLoqUoAUeYrP2N4pWKKeSFZ0t9AOTtLR/mJCP
jhTAbvQR3X+tNQJ6By08yX3N2dnOqTfQsNnRVtvR6s9u1RBFRrjE+ChD0Ku2lPS0AOth2qqVsB1V
8MSmGNL3Ae6RG756g07RLoYRr/tYaDciRLmtYc5P68+scuDoUdrPfNZB6wv0WDf3ci1sJf70E9gN
5QR3RTm1TfjUCzJ21Sj01p/NywtYMNxNsmZsQnG+gtSot63a0pbBW3lTY+K4GfSI46EROiULnwZu
Qm+eKukwSHMMG7I7Udnhmm/UpDjQHAKpqjf/9txQv9bwJqhm0JRKwuwoyODiJqHGcxO0B6KZ2kPD
Lwcru+yuT/5uctyAQsYMmAFwEWJQ0ZToWkMeno7rI3msy0Mi0l0dZ8PcgGshqTtikkr2nhZcx4gC
P+eGfCxwp7DmPmgjF0ul6PdgLDeYOacDNHfB+2eSQafNpW21LD0WfEpq66j39uYI840GOOpz2e3N
7C2knn0Y5KnfFZbuWK3MyrIYJMrB624JxJ7eZrH7U2H+hP3YH9SOpYa8bIb0ncZxvTEtpaW4BV0f
gy/Hom9xWKXjbn0KIy8NVEnFV6RITPhzxh/WCjpKMsDxUANwqjLDdusqAT9vAXk4JHJMdUWPP5Ox
791QkatDvGxwwv61tz43mv02RjG7bSS0G41PMNQs6bus1aMdRobZVUto5IZvvSu1lXpNUP6F/5+z
4F2Kasn9cyS7QQVqNgoOxfj6kDOpiRTqxNgUKixbM4IeSSXbZJmAkTTQ4ooKIV+0UNCZJxIqjpON
L9boKVUv9ftWrPS9Dl86kucDlQURFaWS7ZRo8EQt2EX5kmhphV6Ggcvr4/aqEA53qEwq89j2HnWf
gx71VIkyAcCEiKoAEawI4ZBmlK3Dcd4MCGlYvysWwZBoLYL8hmR3LK6R8JUrvYUQ1ZG6XNsxwcLv
TyKCvgZArLvdEuPwm+AwVCYd9IjkP1wEIQHmNAXWE2DStL/2mqK4MLcF3bb0Q9YuA11bbldra8Tv
lptXinXY8kmuzox2gpPVDoe1z8IaEH4pzahN0CrTAbLUp2ygktc6X/WUuTkbae/jD2qUXYdVu3nV
yPySCE+EbjgRkyBwFzUcWeNKzZGkO6NEWS809Z/IjGt3fSUcCQXwG5rj9dUJVv4NfL6GBjUxAhmI
NXOQo52mIH6foEdN5j7KBoIbGQ6x7k0Ck1r1WU4v9LL7/d/+9vVhH4n0S5I5wBoZmn8OQ4NMXRbh
zq0HZd2sTRZt1G9SefoYqEEhN9eVg9pDp9RK7DTFbInI2unjxoQcpSJnR7KcoAD1AavPhl3LVuf6
FT3lUOitA6mXhlLsdEHy1hAJjC03A3WMLVx1snuIpnU7cn03viSQEYXS5YCKgDYx14hUjwdR9MpR
w+9hMQsQ+/CBdbrgdVkZuFY8IDYfDfz+Wr+pqpkDvmzmsWYAo4O+LADT0EWzGVvlPiRWYW35ZAgW
4iTC3qdzLyhrRMPyWBz0CLD/72Z9rpm7MxSn1luHt99Gzu9DcRnyyNvsCAQ1qK8XAffWrtytVz/V
F0aDdXfdgFCwFt+pZmtqi+UxRgcnUqnVxwVutWxaqSPvufH/jEHZzJAeYssHWxhRX+/vBIKfXKQp
b+vvXcfb9bP87eHsiwJAxoWfbzIhRFfutyYM11InO6ViZTyb6XOjYa8E/ise1k0jpIR9ZBwRqLZw
MY2qQl2t/RDBNLpjKIRHWYUJjnJoJ+ePgq8jx8iXM5N2p1v8BpdYuKMSGp412ncm8o64XIMDBZV9
yVKXUqNH5fw1rRI35h9GZkUeEFb/2amUhOCnBgDWkqCytiGzeeK9fjuS609+fyxlOwx+yn5tXv4+
ve7FPmZFYwmewlpjDFRWB5+xbnlkLgcl7lIaUf98+GdP0ZO9MjC0g+eU3PW5IgnQ3qzHsdT0AlEt
2FI1NzSkKZRMZJCmapyKN3FvzDdaZxGhKZiUbDKawXX+HWW9dJAERTpUZYHHxbLOU9PS/VxaoOve
2gzNoxqW+7q7Pvn7mv/bcwZ1MqcgsRGGDO/1uwExXu+kCtXVP5//279ff0AO6l//qhtBugmCQslg
ufRKUoEGEifYrShiYFcY5WXCnsXOyIBOt9uj9IlwmIi4f7mF/j5c9/pZJbR2vcOuj9fb7O9DfIGb
DFbHoR0RLGC9Gt31liMvN5+aFiJpX8staFiuI01FXZU1A8Vjyarpa7AxxbEhP63tzF1fwR1Uyu5m
3YwGst2JO7KT6hBmS2kxzsqGyR2ZIfpAWi7997nwm13UJz5MyMalGKpOHA29DMbZWXdHa7kVpoJE
zsfffvQvr4ogu4jumPFB11flCNOLcj8bjD5uvsw+muWmte6tmy4TF4bW8pMSbSlFk2WXVUuV7dZd
3Fc4QjChZrt1d1JGLtffd5EbLXRKY+zTY1CEyaaoWAvAKq4Z1/+8+b8+8/uW/tIZX99xfW6kDbfv
EAYsT//tVeEUmtOfn/zZXX/7nw+yvnR9HFUGr1of//mNv28lxnnlyBaJrUfDmBgglr9x/d1/+xR/
Pvbvj3/f/X/xXJEBTq/EuvdYCBH9NU0oT50oUB3EoZXblMpMEXF6HHPARXM0IEmWqls1RibSDnQW
KLg8xbCxkHeXT0mp4Fu3ZhC4tahuJd8gG3csX1gK/zBFfyflunKpqlP1n7H3E7PA+oM0GSeTEepG
TXgdNRw8XZz4B91C2hJ2E0hPDYN+o09uGlmt1xbto4LAZFOaIIloxLa23veP82CSNoL0W1/Ewq1E
/mUP9ZSAGCGMMIfI0GqT5c+ES0d7r8MMLXDj0w2vHabErZifOmMb11wLtA0RBONRqUuSePP229cX
HMI4+E4o9q9yO0aurr+YcWsgdYgTUgR7rOg1AaLSmwIbzu49QPsdE+2VFC4oe6PTDxmXCy2p5BAK
HLe0UY9kPHcMfdFraLZ0mMOvYfpILUJdlNy3e8RFXpCHz20v4klQwr1asSDNi/EQKMpWwTovlSiO
ooCWI8XEL9rsVAYtbSsTXUMzGW5zzcqtq9tnwdC/CKGo8ftSi524t/JPQbFOl2T0PeIFtJq2RVNm
SCpS3Q1JSkhghVmUJp767EMktLhjynU3ofLKgJeLFbZaJRLvq4l6exEhFGSvdlJiZr1E7Uon0N9m
+t0bNbeafQFqC7y+Guxjhe4Nq+wtdVO+WR3zeYBGsE7xz1hm+y7OaHvGOnjCMkKhXUhyh8JJuylZ
Prq51G8FNdHtMSMar1ZTLyqxh0mK+R5zph9i7tSIw/rZE8PocR5Rrxmyz4xEOM06E9CM2Wqu6aCF
W58RMQ/sEL/2bgikB3OgTqqkxR7Hp3qJVPPBLFOspBKr94AE2lYK7jriP9pqhJktC65FOWPjc8i3
kW6R81iVbpBB4Ili/0vomxv+BxGIcsBphpoMnYgBrlElLHR4vHcRcyu7KsjXieetBgNXm8U7ixrn
PoEWexCN+Ab9xwQMVEj2mZDeluSsjA3nqyT5haPSSeorhIGwV111mDg5u1nxRtmAy22RTh3DqgnU
iqix9kNe1pamaIz7oXwWVJNhFZZWquBGjKlgaxmOyzxvtZM5QyaGiUb9FH7fUYUNtUX1dMkdJZ7w
YqVkXOVa8lIp2ofWaBfVFMUX7EfPJUMUbhVcl2YFlGEY53orkwJ2ghAXNSoh8yOrSBVcGK/KuB3Q
RfLr8bZAYqN3LQF30lkvuuZ+yn/EOXrABa4jkTZtcaTVYDyipBet5FKXxb5CSE8BS/iaJRofJP2k
YUjjy4J0BinCyQIciEmK92MiOtrJ++YLZZW28VXrQTOqZkeNnZ78VlULAip16MY0Z1GICimUZRKA
ArI+F7o40zxyUQT0gVnv3zSpjH/R71DkWQuaUxnwh2B8zHqY7mm8jTpDdGjcHTIzHL1Ci28rX2oB
4SVvRULSmE+0BnHctaMUjHy0+9GoUPeRy5zIUNLPMr+P4WzGiaMhph/Eh9IQ/ENK1Eto4J1DhnxM
kPqchVFVyJQfEo+IpK+htZqtzxjliKh13ahljYvFnwZbcwvj4D7oFd2D1jwU5uPQAWQEf9RuTFn8
inT5qE2K7MhD9D4PqaOaIbx/OaAJwPnl5VZ/wvfwpNQodycR6tfUc6Dlp75Pf0r88UBMamOHKybX
BE7f8p0yBX9TL3J0pOTV8scd9uFHwoRQfBfJV1cYgVMQFrGNVXThoUrGSaabHpLwDS787j414IRl
OpjS9NJPUr4JVB09AcZNty2jwrMm2oAxKSUh+FA3Gt+7YHgbzcqx5uHaBumB+hWcriZ9sCJMdRN3
8UxOiM8MSYMcyeTTCVLz2pShBocVyfHIXSrCx0F3gVcSf4awFDeD1P+YUr5LQqKKAZZBl6ItZkSl
YVPKnG9J/WH1YIa4ohCwhKPV2maiErggZRbMmZK+jJLLqMAWRlkXfZSDa6aY6+Ku3xKbBGEHOpUd
sPQ0uVVhtbZoDymiCVkiQLIbqZUj5hLSzqC04+gFckxOkgZMRCT6H10DGFm0Sq6LBMFLKDWbpg82
8hvyERk4fGLsqEOV0GQbvVNvgyZyfZH4NXGa0H4bjt7WAbg1HTGHEL6q2mnO/NtxEaWGQxFtVb97
VZXkULAa9upBOwJV02+hPJ/qRZMQEPnjJakJJ42vLUYYwhKNRhQCBRmlQXmGC7PjLlzRikd5awBc
lOP5uQjj0q7iVnd7Xc7pzE904XtiXKMhOetRgfyeGrsSju+qrBKYxjfSNOlTHSI9xdLwLRf3gUYZ
Ch0XlBAVh4DwBBXm2LyXYXxVZ+G9taLqMJIj5Uhzn+xZrt5Ofg4cOAjvlB7IAeIdkGd3WS7dm3Pd
bnIL0VAPGGLGqg63Gk7FpDIYh5A6OiT1bRWS5hFyX6aAcFEF5Wr4DJAJGWnnMsAHjF9aocwjXNSC
SBmYunbfl+DH2oygiULFfhHDFUCasJ3b5h6R3yLMWE6I+SYSs/uxQGoS85UhDdlPwcToQGAd/mnj
KOQBLipIazu1TsHiO5afJnfM/FonMIxrmdRHUtrukRs3x6JXP1QSVaSyPhQkvUPMmWR39KkFhrHp
6h0xjb4k5jtIOp9oLR67meOIH6QC3URaF/exkLpkk21Q/+CfkC+SBqs6iG9nFMWyoLSuCKjCLRsi
DKUYR02ff6QwSjytqsnhjiEuY/NH6Wi++zF8SEtmCqhYzZ1IVxh7luIsGQhE/7iBVgTfrDmo4qtB
Zz3XQg45EDWgpEYTJeHyXiQoIi+2Q26kBzj7TJ9ESAeJrHhlN1xY5XKj5qqrJYERTlscZEieRnCW
jixNjyz2Hgq5SW4G8qEGLMWZgH9NV+GnL8uQObugxE/p7/YbyUzm06SUZykSJXiKvV3mcMtjlEES
zglHNJBAzXNVnq2+ptZsgtUPlAGeeUm4BFB5SuJEIiTMbg1WisILkSDYAlh7OQm4UQdIjUe1Kb8P
IsvAGg4LpbDeGI7IMGAy75WtZMG+H6VbMKfHWhQPlsUdPJKCkTttPrpdGtGBGVxj0siMk6cLzeTx
3lBEosMFqYZ6i+u0i0qVZkBR71Q9jj1wdHJA6SvPiKBokh9Dw+racU/aiF3+CVnrKxKYa6VGJ3i0
g6kap+IItZa8oOExZ0q4lYtSd/W025cDVBeS3+adwtDAgEgUywD5fnEi3hEwsAcgQTTpYCFFZ62r
9YgZWcM6mdbcJmpYs/ZCGFL0FCitxd5OVzbagvHfxJFa7wdwNGBeMA+3KUoMY9zoKWmxrRzpXkHn
hnvHR6dDSZ9R4m8iuTGXjN6bGGgWE63wJ2pOcb64L+NbppH+TsvKi6I/GEuMiF9LmyEY8I+APkU9
vNGq6rXpKZx3rfykykzuLUM5Z4H2XC6yjkg8SyboTWQMrTuSNLYZG8vfwL+6FDKifrDHAjr8erPm
D9CKFu247HbpeOw7EJKaIVJMHi+dPoiQ9YnXMsaD0UEoVnExtzQ6nVYcP7XcnDa9OURO2vEUEdGY
CGoQW8ayLvBlYhVy9Ow+jo1BaN46wlM2xDC3G6MUmcLQF4tQInRjiGOPu83QpogpUSwZUfYFCF3a
ENWqsx4zG+KbBNEma4Oy3bccZu3iGxw3bUJc4WTtilrXNrVBdzAhzXEn+YSTxkZJ+pwVu6xyVDvu
Yo/e4inV+c1poUG7aeKFoX4nEuXIrAtmQzSDilg0c2RQvXWM/cR2RTP+Yf21buOOAc90/YLEJqnu
3vWxfUw666xWVNWrmRqDBG+DxKK6QTWpTCPhfSjVM9l67jNUwiKuhLkECd3NJcu1cMo4sweQwurR
MCHZ0mKipE8BKDOh9dfC8ldC4NTiOx9kQC9uEZYgpTv2UfShwZlC0rsQKqArxcNPDWUg1kbN04P+
W53mW1JU+AL1cs93xrJNXdR+NXlMVnE1K+4fU2ZBoJG2pdF/d9l4lcNgXwTkKPbNu5+E0z6wmCzn
ln4Rm/wUCuNjEvu2ngrtodW6bV5ocLGQsiWYZDWTC7IY1WjTKyMSw+FQ+D4h5ca7PGMeKIfAcucS
WWgU0GgOkIDZ1Mmkmw7pKi3Kajy26i2tIYhokL3tcM6uYoKhcsaqzleGtjAlk4eZxibThGPLnJRR
2KJcI7bd05wrxS2rFDlZ0HUzh6xEcmTntQpoov2kb/sTdvPyIwqPgcypratXRomviuaZV2aAlnv8
fPgL8IJZjNq+ZgJiGgPI4z030cDcxHTWbbjHAo3dHhFd9aQHYu9tYiEwL6DIBq0ERjr4yDZMGnop
NqA5xO6caa/F5DTTjAg3afD8RR9GrVH045xsoJ3SW5EjO+oN6iNzhASWYiLmvZ9wxq4WhtMujKYP
iVxEtKkxfI3lA4h9vpPCGnEggSuV8NIFY4dZz7hljvCstMpDLff3Si6gQ43urJhvKYsDSqnZ8KlY
M3hc7k8s5KtOIRcyCq8BaAYbIaqnBMlCcyK+QRcImCbo9B6morQNUUNtWIUyA0g7CaxsljMDV6kw
M6pNMPrH3KRSCqJGkpm9d+SggCDkFqli0B9IWiGimd4NwQm4NqaiQxCrSjcJFQbMbQmj9vCuVM0r
ckaSQPWRHlkTwnSOnybpPZSl1yDDjdjiMEQMxd25VZ2oR4kvmbaRIpcGhHaSFcxBJSa2USUfGjkF
bjjxSPUJQyweyF3aEPrTo4dWu+4aAQQ/oQdMTdRfMCU+ig7rTtL1nSewjGdvuEyl4QEUE90+SX4s
TA023KsDeWOB1yhh4IYGUBpLGSb+IuRDWYvpf5oI+MFc63XaZSyEazf8WCFVb126DgiandQ03wTt
CjOTu5zSZ8z5jJ0P9pEzi0b3wrKGX0EvlQA8DIv5PiyNRbdbOTOsMci3PS9ipoqUi5kD/tuxwIQo
kXghiC38frO5DwWaglWiMjzE9xYxSEEnIgnz6+3ERwB9wcjHZw4Vs3AreuYS09HawgHLGhXhtW9L
+Ei5IPmTRnF87rpasNFbe7Egy04QIPorkbwDd8axIAIixwjeWUHpSrN1TZr6Byr9z6IpIaCJOJpC
slmp+HzHTRU9hQNoKRnqSxKlzM6FFyUKLbtr4Asb0aeaZvckpQG8x+aM8JIc9lmZbLlSTmIjXJtJ
okuMkG/TIxOWnjK/Q0UHtxGGErCiNvwU+iDyqmQ3srqH71A+ctM8KeV8NgJOz8xVlu9JSmLLGcjC
cPSUAwjQDcJCwNkihqItGJHsBmHJ3My6YPaA2JBanoX8ZUk+jMkdDRXjIaQADaz8lGhIDEgVP0RB
eE89brA1Uu5AgWxkZBZVMzzqU/wY9fNlHKNzEE37qCUbssk8Ane0RH4t+BMQsTtG9VmCIQsG4b7R
Zk4v4WaMSvQ2s+EtC9MZ8ykXLhPaQLpTkuBd9pXrLHcg0WaYPXH1E4dGbausEnocO54mXE1r2pUa
cP3OwhMdARMofP5crdLf1LkHQm1dFeSkI9PBUH0wCZ+rCOHaSa80FZSUCSKrUseICVRuM86YWs0J
MtdqRIeWG4n122wYb3pWUUKQTgBBfoi0e1O67iPPP4bGN+ycBkcm+lfaSOdKqJxMz3/wvWzTufyB
e/KAMPmRALHZoWKZYQAzPizO522TdK85E2x7jhiS4gp7s9IW7yn257rGyR7RIlJTCgXjXp1yMmTL
B02Lj3UjPhtS8zAYmReOtIoL0z/jFKKy3Nc/4OHOcJcHtbuTG+EmbEluFtPPUqSrVBvCMQWFhWQE
hW0Qql4NFxNbDGhmWaqehei+nKNXTBbfWXCrNDVSprIEWdKap0KGItlBfpMQLAgKcTDajyZlULzB
OjimjAuolwuAQDpVJGbaxFm2RnTw22dFbXZh8FKPgUCm23QWfJaChogCLbrM0fb/C/r+N4I+STWk
/1HQt/9Cz/ef//G9vtn+67/+869/8ZeaT5Kkf4iqwn+SqiDdU6VfNZ9k/AMDl6ShGdRNA8xwXtQL
0Fi10PKJlkhwPYHTliwhwPtLy6dK/7Do1uqirGgaoHdR+X/R8hmSLP877BiRt6gskkLLVCSV8q/4
77BjPHdVpxk+BYwp7ncJF+gQRgEG7BndSxmlGJkoZ7WHdVNGbc+8MIT0YzSHVIoaNGfL7rqJGyY3
TQwStFv8jOuGCkoDM5nN+rAYY5a3eRp66aIrUGqBZuiy6Rb1CLXxvx7+eY441S33HGKdl14o8Z0V
hHQ2657cjDyp1iZ5fwZzRGnpiJexQRtv3fUr0u+G3iDYsnieq2XiINSA4RZtt6HBuy2AFKtgN622
uh2tgXV5mIGSRVvpNAZADSLmqAbrVjB4rZmdwmZJuhzpfFmY/JS2o/eS66IN7W/fTMmHletYqMDe
HcKljzkNYX8A/C55ldzcC9oiMGjz7qAKiAPsoCovRMP1nmDwmWjIX7vJ2hsEMUQwsvaKjHAmacCG
oeosD+NscXNfd5u6YZdsWGpB3FASROi79XPSoadvuHxiSP3GHsBmlQbzYd1IcxVuxSG6G/um2EX1
tAsW6VJSc4vHbl0tWb8LlCQtyYqVdDIt3uMoOYag5MS2MfYyMXolXL59EAzcsiiPUzF/yLKoIoMQ
6u+iikE4nR+kgUUqhgdkMYvD93cTaEjDfh9OS6d9kw/xeTSlDt0VTel1Iy4N2HXPWHrF655syvou
VSFgLBKa9ZOvG2N1GC8bYdbh9mUqHvY+7SgY83naOKYllGxlYZc+ILxgCgG4Ac5AEDvVWbmhKMjE
r7rK2sMijfkighhgDii8ooX94lHv6AUPPSQxtJ6/DR3mlCVs4PeWiCnhoSJ2vOsu7Fnd1iJ5/qln
gSFvGiay4h0kapv1tU9l3jgm0qnilH9JfqQNs8nn4hRGbkySDui/ZI+Kq8A11ZANPYLT+So0z4Rv
AyOuTjpmgnYJrLQ9hL2NsPJI+52AKaTtqN53U7+fP8Qr8ww0nSpwsQvkEIPIcRu8P1qio06LhDR3
3bPg29WbObkxVJL5AAIe1NzVv5nZWTY4PBmOLgwkggcRoj3kD0rs6U86LTlcShLUOZsmJwuPbtxE
6iEdtjHz9pn6srUDYJHiXqbMNNqV4dTBbWl9lF+Zy0yhv+sfo7P+JFgUYNz2pn2AI8yRAFDKjbnb
UsIl4TSRkSdS17OjY3EmTa258Hz5OtqG+57sY7s8EmrFdBts5CuAG4gvKUugRea4gaFL7wZY9OwE
XKyk5dhjv5241WJ6gm7x3ekoRD9JvjXwcuEiTfYFU+BPkZljC/vG5ui2hPXB5rYc8b2EOwvDKUXG
SngECQYjS2b5QH+kuyjjMb+Xr8pzRvFUYwyxgcZR7WvOCgC2wCkf/AMRYLWL0kzB+RJ4OtfmpTQR
tdh0RpgOEYFMWyt90IlLtNvn/MO45k9UuO5i2ilUsbqjVb+itjF2FMcEvkUUUP4WJyXFKZMRqf80
kA4DF9xGp3RyxPuJNexSo92Yj8qN8KKHVIfoK9jqu/o9PkJ4ALR9ID8MqITTM8WWNz35019F4wVc
DjROPzPwCcRRoi1m3cNIsVOfgDFjM6XdeU6Kh/6mehrv5Tf4HfULkglSaZdJ7Y1Z4qu1cUulMOQc
vHhW43JCaaknQ1ZBG2YcW0KOdSd4q49utBcBnz1CgWLaZTgjZSYo3zh23fashpv5hwA1pyc70zMb
13CSg/5jfeIMOjbf6hd11vfoyzoz7kyNqz8EbllSqLCz+eojB+lteWC9fSzvG9hRrSM9YxSl03HA
wQs+Q7ds9S7f+fv+bsrxrzgIJ6fZJtTuPSvcIt3RFZkzryS59qtqvEXWtfnqT6B/+hOoMv1ZvaGZ
DTejP1kbYBHZBkJ6QqCz7b9Evh27hKtRdgBIemw39WN1amfMV4wZ9PV35g9FjemJ2gllM6V9aZRX
xg7C75CFjPqXCkTDuGikUWabGgfmXn6fZqc44Cfl1pPydiM5vrNbv8L4A0T41QZbndRCG6DQRQo3
HPPmHQqXJ30U3+S5wE0xiUjy8ID0DFG1E79MV+0mIOaFy2AbuOp+wHkI9tTRrtErk9rBK9BS2sNb
TzlrX97HLZxIu/ZRGblhgwzwVhT35aN/WHqZ7S69Fz4pifP9DgIV0APXXv44IkLlSoxY09njTffk
z3sIXuJiCt5YgmfydxSU8ewGGuJ41DpHTnY5NzrGHemQPgLe7AF+CW7wTteTVRwaV3oKCviEeJf4
rn7m8j5np/iDcqH1GVxoRmvkjjCAKN8mAG1Zs0NQfONL0V/j6pRAhHmAAjMKHm9DDDDM20m4MYS3
ZiL9i4Zjc1N/Sg/ti39iRWNM98lk0xpiWi9us+JJQ9hS1pQA7USlzrptpaeJnqF4bsY7Q6T6w5+/
CSjNMdpmrq+CsqdI852hM6eij9b1PL6UtPwAOuI3epgf/P5Nbr4X5ihXL/x32fAULqESSYNlx3lp
69k976EGFg1cF0Ajg4VBAQ86FjXMwI7xPll8M/gq3kKs2qQaEDjAguEn3fMfHRTPHzEIeIz/4pa5
2SH8DLAg2o/Ak85B+pKoJ/mWxTmCuPk07B3/pT4A7I+49R3FCl0HgkWCCj97/Qa3ZpLt6XtGnQfO
UEYOJCKqJc39vqhxOrtSe+qHLR+PglGDUDXbS8UpAS4ONdYGlNluFv+YfcWjiGArZhjbqM3ZSEZa
L0danQflEF/047RTb5W7+c6/mgfOaNZtR+HFaFFrc3KD6CEC44WPgLebgBohQn/h5cpt2aSbNHYl
f0d2Qi4/yLC5tIOUO/4ldYdHmi0bxUPHmpK3itYBXu1T1N4mI/zzE6796QhmxnsCw8M3qH1J4aca
er68Gxf+i12QSYqapWb6BTiTAvYcHfWLRTZwc6RmX8HmBbCXg2NnEgm+EpL0Lo63lGsxpcvVdogf
56Vcc5L6Xa9S9j/pZIjmjozSIT1DAg/I7BbQONjlhYHourwVwt+7EP4os1vb2hM0QrrxVbhXq61E
RhO3Xh0oCShBO/6OkrMcO+yyvCcVtqW+LB9lmNAw6rtNoqP0AIWAJxMy3dFKngwSpmSaE4Qu2VRE
nsuT9ZqZdn7mWfIc/GN4HIkcYabhmM9VueEjXWRMcPZ0M27ND/UZMPVNepmaDfZkiiA/grGpbwkn
IJFg23abfkvrdqu4+Vt7Frb9eXaDe0E6dPvmbjgqr9XurMPF/a7fxlukKOZdyXvMbnhUdzng7k3Y
beLhhDnmRYT19YjkQ0Txd+QY4ayeYJ4KdvSA7qKBEsh01WKtsAcu1SdPyj3KbpqzhHHmhHrjxdmK
H9ar+Nw1z/3g1ldiUTDvevg6mofpyFyJT0GwKdE/W9r7hNimB3x0BOme1WN6np6H5/rK8eeXRd2x
PAv4Tm65cWCfd4p980jtBZXsETIGGVAtmq70Nj8YT9J1/g5RD0a7LD8BlzmwDBhKOgi2SOHns7sv
36kAIJhYnNacQxsRwq6PVnkXXrp98CA8Gl+cOPVWuortM1Qx7UmieLxUoR0WEbr4bM4PZNSS8Ni/
L2SbJ4IBwARV7a6Gbx1utWJLTH11NBSUnRiHPQrWN7XDSSqSZkjhOX+Lz60Kd9FrOjfddaJXdK6Y
XCLdpcOuU8POvIGqjO4p76RdEYssvbtNdVd8cZ+2gCRknvKETD7cFl/AcLbtbddSbHZk/8qqqrpr
r+JHtpmtF9MDaZnkHgw3OCBNc0IrRaJrNjC7ve8v9aWWTxIFsotSbK1kn7xGxJ+T7HKs7icZAY5X
PSSf/PGV4g53/AKo7wH9p+hQ3cu9A1ShgaDOvzduZXEjRIfOtJs7etC8tAAPIO3yi9ruUwObO0zF
DSd8/DY1jn+b3PnPfKIOFOaMuiW464ttn29g77Jssn40pucCenKnVMnx29bRg1F+jNmu+6rQ2g0v
KFCwU3ck13jMJqS7Yc8xz0Bt3gwzTTHgLMw5Q0Tldq3M6JfrBpDy4o6mlAthh4z4QjIP68YIc+uw
IIBNs37zFQShfWjBfelQha5763PrJlD5qSWqzDBMuo9pC4W2hCivtH68qRt5IDM8qZjts1wG9o9w
fN0bJHTk615GGDh63uUnqYoGCzHZcbTECJL48k9GhPz57r/912pJ7oamD8wjtZ0Rw9VOhJeqDnpX
zpkpEv5WboSCdWa3/ELZXBabCofaggVFFu0h72HUq/P0f4g6j93WtWyLfhEB5tBlEpWsZEm2OoTT
YRZz0te/wfsaBRQKvvaxLJGbe6811wxuGz6bDZoPjv3/vlQqWvyZqGJHPupst53blffor/xLZBTi
jrinRWvZHiHoOV2z0hpyeR3MVGD7M1Gb+Ks8yQDWqj3+YXy/bQJFXQ/GxgTK/yalz9zR8aSdjREH
nYRqi58aJ4WDr2hJQkxKpKpNM7kfGPtNTPZxzlvxoqr+1u/Bwh35ol+QSUkoa7cCwOdikg4VwSv+
nvf5KHgdtSj4In+D+vOOr0e4i51o33/KnzRIry2f/i1FCWELThfoNlTr2O199bPf1w+6zghyC+YK
RKBDtTEZpTGgs4d7jRP6J8ZDR+mhX7pvYXajv65bSnL1s1wZoy9nLvd+ru1c88BS5b/hNz3SpFb5
Wftm4HvCjw8vwCw+a2+Ikqfvp/9cU3hIuVPtOkLaqZKcFjKp031kwfyH5OuRUvd9GidU7Vw62C5v
hJsvzbM96k742f6VjzrCj9AhVZwYG4mBv4s3M/0OvxYtrN+lmZJvzYXkIhwxmAyU7K47LOo4/07k
X+AgQz28xymQObob+9zuqrNnEj7sZ6Cduk20H/E4fJsloCLvadj4CyLcEn9HzAAhXkF+O3RpMG35
awDjRJlYJbonn1/ipV7n2m0/Qr8KHbSNOAjZBC2hJUpne/SjHauySp3ndwrHbfSGOxJFEuyHu+D9
TM7EPpbswnfDwRdura9fJFzuQ3QtXusnGyVgEqbQ1a+gAXILfnnVWnFeDNQCYhlgYn7jCypcutiD
vZIFfOMsnGumxHu1wrKB8/1M/6xswVGkrcTGcsFNX7UHsj1xbRk9RBcqJr+2cRbRJC0zPf5IFeT3
JqTDp6ZC+4hmAxtpr75iiS656ibaql5ETDuzd2r4+owUskp8lpGJ6AoT1dGB3NrYbLbWXlyjkpmC
/poekMQY93qDDw5+nIfyEV9Q9isMln4NRzmFg2ekTnTtQlamw32xvOF7Io2Xu3yfR1pLPfHkX5Kc
KjoqAcEeULTNGK6gpL7I6yaY7tyNemX51YH5qPkpQ/q5khxR7Ole+qUIDJKHWvkWjUDGHlz60Hql
M8X5qSo88pO47VXp5i3Orw6Wf9gvLu7vASHXfNG1/oTrrXrugZ84OMHR6R6k02IScVl8pr+MPe1A
Yf6DjqgIew3zQHr3H4o/2lN9Va0XsIw83cX2xNPoUHDxBTEAI2AcdhP/ES4z7OgjxcgZH69dOHxh
3YW9EdSgZ8ubWOm1U1KWcpS2fv+lfReBUWCbbL9AJ1PfkL0wujwxfr/74m1aV3hIr8gEEaUAohBx
BeTgPBV74hkHB7s/P5nHRa9Vj82J6JJFMX1LOG1tUcMseEvrtI9lFT3MP1AE6KUXFgYsWh5DACBu
eH8CFRA+aL61bxZJTEqVjdyufigvV/tu51OBMVXq5wASHwQhinb8WWEqC08/p1bbDsf2TZCpqdzh
XslB2rBJ8r4AJ9b6adRdUK70OD7IaAHK0CMHHGvW7sQPCIxfak/8yxuvfcxkcnDRRlgl9ovjO3Ig
15j/WvCv3MeouHiYG/gw2P0IwD4RJKW9RTNtuO13aPoM9tW90tvF7eX2q/RgdHAo7Ne9eFjnWYNg
4I29Cws9z0959h6yM92h4+HeMzSraNy30wKzLE4cKbNpzl7AoWgXCr58ETUHgeQZhurSOAA6gBMg
56p3r/twLDdDEF5mt+N2InA7AWtBW/e4u81vduIhiZQLSZFqv38pGMn4xbwq4o2Fd4Juw6K/Elt0
gmlRBHBf52txgs1R76vxBurFSRRqx9iiVPA4cppvwzPeQNBwv7jz7HaijSn2QT/Ox9KydSJ42JV2
LcVCaesbjM7RM9nLy50wbOY+1uN6vi47BaPBC3eeR064w3g0T4uBLjusycP4zanRzqsUnqBCok7P
zrstr9l+PBoPNDKWQ+ya+DepQc8jR0TVd6+55DeLS/TzBqqQCRIKzcqw0RxOGP1SxRg2exc4Yin8
/Xe9uTGqJ54GNgHz0xVFB/Z5YZfalj47XFWHtvI1CVG0w+ZjQeinCCmDonQa2ZNoPtXWrWec9FZA
WOYfR605Osm8EvIPPd1yQrGLsrDwjjIkWk27ex/P8l/Hbb7wuJFMW4wekDjYXSq4suyHmiuPHn9Q
VYmRsaERMwHOZJvNPn7DL4/eH+uZnsfafn6h/KmYBHzAuC0+5se450ljw8bOFiWjMhC5sc/Tq6ht
sT7O180akuyM4I/lVK7pULlW8BepFkbDg9J1fwqkuK9U4haWjV6hv+W9c73VS0sYbe3p5S7HeHer
PIiQNZghFl71WjOcz8xVPflmcehZjb+JR3sMtcUnxicrPF1imOuhlZoxPmy9hrkpZM11dVk+MztL
7YF1shxtlhjqjyLQvgkrA/zkhofDPq6CyDhmqBI7lgJdJcd2thRGQugkUN1HJ5e9hAAifkpSnwWL
90TWIimMdj/uOTaaGqqEq4QOggfrje3XRpJ/G9i1qKHkLVNqnrvxjxmoZfrtQHf5Jl45FAEFe7qk
3/LUwu1ZpX6iHbkpyl29Rqfoqv5qlP9vw3bA1PKObSpJHXYUWCRygf260k96jLbt5AzlmpgZnlHY
HSw8DOBr6Gq2eC15MFOgOH57/KP2ItmtYzjkdKA+ZyQvzUH6ngfS7O3X98SloJw7de8avuA35G6o
DCI3PLVsJAscndEtluu0cv3x3F7RknxlZ9HTH2gI9BjXWLv5D9Dvx7V0J1MIVsZCB5b82GGs81wL
009VBu0K564vtl+VZXnlkIQVBdkcf51+eXbbP2pxmOgdXRyRntVe+OJIzzYY7m7MffUhMdv9pxt0
2/7LvHbdaMOENcUViE3GPXTCDc46T76lLsAqzAyLxPB/xRs9/8MwmLhR7cmYlldu3bvjdfSiW8ET
QIE3cvCRfBjgMl1sYV/p/2J2YMuGzCnCEfbAgcExcT+TN9NO/seuK2IdhW/EIdqyyrrL81f1kMw8
Gxc+Aikhu/nUkUj6B7GOHVyvnAocKN28GH6MfxCmNumxPkcBq/WHNwn1t+12gKUVaSjoMjbhWqV0
W2G+KdO2P8wbgidv2iar3H9iJPey0bssVD6n/8exbOGB8S5fKb00xu8e44SddNBeR7i9/FR0FJfi
/Mwe1SiBLPk5AzLS+7SlzAilbWTu4oq+x1/43eWO1m74tr55OCGrDHcWi/wrQwg0bJs0m1u4wUqU
1X+d7nPq8kC5XL7fR/6OqcGlvbIppuAn4DfvCWWCJ6/Vz9e3dX+1q/maIbN6cC5p6oGksHj+4aCh
/A93yoNU4ljfmj9UJwJkQ9LM0nV8JhgseddO0PHMS4buC/sllttOfoden9+HAEEEfc8mP2R7Avo+
tMYu1/nLLnbPrWpARmZ2gjbIRrbbNcxbbHldedY+IqvajoPJI9TxSQWueelN9knfsMtd4imB5T+P
1nYKpvP4Ia3MHfquimYJy9ClciBAiSoePbTP3WhQJFJIeVQXMXbx30S5DBf2yHbZN+z8W1oEJ5jV
YVxB+wTmbOKsSTfGzkc1WXlNTcKSDfkv2WkrDNgYB7wvFMzJFWGFmq5iumTOmSC8vYOPIhYTgkf6
XWGuy9w3LwjUF0sRW38Sh2Nn2M8PON+5UGUdE++NzaxcKzbWDCwKtGHTUyLLQS55FIiE2f5Im2bT
PUZi0n1tdOUP0i5dbjoVc0+gDc3hga6PwvSMTbn0wDBrXV7p+LYMBNY0Fsa1Zifaow3Cg1ZEP0IG
wtJqtJ/IMCI2/QiFhsfaEb7CYPyY/i30Jji5+/pD6Pz+p7thh26NQX6qUQ09YYba2s3cit8AV/D4
1LuwaeC3nSe8bzyt84Euyl/IVybvCjSfNLFKDDplo798ROAw9QDiwYdKbFwhccYeKoaWMd4TWbkj
7zrCWnvglAe6S3EH7jNf5tdO8YyVeak/FhUBIyiKcWz4CsAYYJKzmj0GPlGyHj+S8aKRozg7qNRi
sPkdSPpP0ApgXt35vywO2yGxiPkFDDdTcmcgcraRAOG88Ns5xj/lxtAjjLwiwtuDCWCQHJXXXsrd
lmXhRL1Tm9cWzn/rY/sX0wbn2FQHFZM9yG2Zi79WMGbIM+z8iZWjA6L4U9mSE33gdk0c5gtkGtFB
YydEvGEKcZbIiEQtSFUb0nbS4s0HQi30BZQqj+bP2AT8Y/qCfIan52V7dm0scplmRL+zjzmgz2zx
WL/hsBjZGLD56OJ5eCiVOUiiveZVfvnV37RvlO+DXSCi+xKBkiFgK072r0RZ96/7NKfloGLWh65m
027JkMXt8Z/yTtDhe7sZnYGGf36o/yYi+aAjJ8tsNCZHPdBMnydtWGfnUDiSg9fXy4zzFW4a8fh6
vfGKcb+ZPsIl9cNmIIlIjs0aAjCqJRMNCRnGKs7ANkM6BTIxEs8XOZl2spxZV+kbAcTTDCRrxdCS
rGnSHeFPo/N+tR/4w9Uvhm4OY6LGniDSRit5qSOYiWJh2jsY5NRnlaIcs3dmdB/KsGFqSvxoicRK
wOGWrCnX/KI4Dt/02V6SctbYkng680IaP3fgAfh5fhZgawLcbjwkTpq2SvKbFjQXyfJnkwLGTn9I
WFuOLBej/K8O9Lyxc9HNmAbnBwYcEOBThelnQONCDh/P4lvqNzRf++iB3SzJt+S94y8acPeogLNT
soSxLu/gZdrFSfa4OLj9x4XPceb1+/iQavsW+2VsKKlBSW1zohVb9hsfl8o4/aBaLqrdE+UqElJq
NOvLuBaK87xlv5HusdSLXeZYnvkJEmDYM5vRA5ipOE276I3xafeOOYUJw9ZaDe/08AwUrc8Go34A
k/ReY2IDCFXyCTzhb/wxPznkZM1dDqQhsCg2HpAfOb454QrdZXMdLuOb+lecakqctfFT6nbtZbE/
y7Bwd4gp9JX2QdQIToKcsDxJCNmY6swkY3hd4z5nn0W77NXcfMred7dufKbJzMvwJJXs7ocDVHEw
ub+WJuoqCn8uaZG54g2LyYPAdiQzmXpR29QjSR5eKiCPdUv6MJ401rVgx1dSWrDoskXJw9bPfAbx
Iye9+lhdyzIwhIDhAhMHKQWzI551LaXHebzBO8a1BLYQ0U4EcBqS339n4DwrHXjHZSzIWle9dj/v
n2vNFgKgI9YClR05m1dw2TlxFy/Oi3EkC0w7yBuOR/VGyJ7f3glCqoSgJH/2KuPQmoLb7hJA4wxY
iuBJarFLdHtdJCjCyiMxIfK6HWMIRlmBCU5eeEg70yWtuVwmVYa+jmL/RTIKhJT4ob/pXrvJuFLo
CD8SyAbpFSa96iVfU+6ETsj/lGDGwXM+MjBnYDT2vm64QJaUG5D/PXXH8JSMQSf0GGN99Iwpr9IR
Ct6hfs/PHOp4O+EV7iLg+GVglNKPkou0ZuBAClqQXUT1kG7Ggw5RNnTyv/Au3md6Xwrvdf35XKUb
2X15oDrKF2B39wD/r5Dr4+3uyNvm8fRQ0a27a3Lh46jYl3hMOZR1jC+LC+TG54730WHaP1cyDF5A
pWVCR2gBi4baLn9v3nk0p3cWGRueXPvaRfkw2bgPC/l7bXWOIu+G8hMJvXLTAWO61YgNx9PPJ2ay
jtG5jLurv6eybTLPBBNiVsYRzbWn3MEWA6Y5/RWa5cyfQw/FUz26xL6W2SbFmLzaS3h4G+u+wnzR
69XVa2KWgUE33lU+ejumCFi4Mn+Y5JUJ0fnpWdk9ryhlyFsW3qQ9B0uDEw7mzYAA/83jUs3FBS4z
mEfbymfzl1yK7+npPP8YCJ94eVbMchOwlyI0gK3OSe7ttvlrRJYIR7pt7NIrGiHzbIrLp1OG/yZL
QFu1zQgQgzKS5YR37g6fsaX/oAy7y9veNfb6AZqQI27NM7PDiby+X+xHiWdn3u0YDAqxs063+nb4
mn8yXKZoRP8x51h3b81kdzXat9U43qL+TVI8hSIt856n6GMgJgVk19gbK8xecZ2xefxUbfXqXaV3
KTewrjM7ull7/k7uNBVhsWqQgTPRYXji9RuN5xRKz7e5RWkXn6prXth4W6/ZHUQC1sje3VklfpJB
jSLO4zGoXYjY8rt6jP6k88y8+cdEdeRAi7jmfwLobQks4cp3/t7g89nBrPbtXQyUKyNFwS0vwqd+
nj4jaL9rWVt1jvzTUqL8ku9yA7jTrkK0xmp9xWzxaszIPZz2gqEGgRn36MKmoIsLEU0jnbRfmpQ3
cz8GzBkqHLUIZpQcks+O0mr8yY4dwzfh2Is2K766Kp8qQ57kgntMdTW/ZwzUAH+2/TvDkxfx4JnX
rEyUQe+8RndqTuI30uADRvJy4+DeSoUHH2W6vR7NSomWUWsL0AAuemHIjFFO6MF+kz9kt7jED5Zd
dBEBmx3zwMinQgqx+/qirc5AGIJplVGD/Rk4vV1rQCEHn9ED7zG5qGx4l/T6usANIHGxZwcvCQxd
o5oiLKH+tvgda/cv54Jau3wVOREbJ9wFZqOXInQZKzO4hTfl5X/zRffjU7tdKuSJgxcigA2F5Apg
ue3eioP+Jrjc0vRR8WBtE785o8xba8fMrY/TSv0mvl4ZbWghWznQjiZS6Y/kzqMbb8gmPaHfd5ku
4nQKGx/eC7A8ZefJldbPVYJZky9A6TACeHjALADzZ4XNo1o+RH/vHsObzqdlfPu7QLYRt5op5cuN
twKJelxn2nXUwFc1yM965O20fzWuvcDXAWa/Sb3mPv+CxaCGIMa112zoHRDdWL4Qb0AdGCIam9dJ
kdc6Ck87q9+tjbgt2D45euod67La5NcycY0v/Zvv9RDa/9giWCjSJwLTnMr+3uxlV6JiS6iI3Fo+
jp2XMqmZYcfDpyNYxeYTqtFKobOtHWBnktFYIuJ7c4L3KTByo6MmHy/9onqvlPeBIunlSfIKCYCl
2eJPveOVIMuairMEVt3GC2FAvE7yXCbB5lbdhrFLCvh78Y79McDLE9a3LYBsQ8S8dHthk733a1hU
+n9TfrrGs7yLZ3dcU6lXbH28RU5MGsQ4MO+MsBH2PPfSJ7ju30RVtYtuz91CEYtcc3qE89o61F8x
6i+UYrAP4YQwtyHTtbfz3eLICX3Oq6xDCCMWPtyt+SDNEjtg/NvYt6ePmuku6NQmusHoEHb6CVSg
A4B/cNK9Z9nGPEEsO0FzPXWf9V10G+ro3K++2LFJgcPRWmH5KAdOEE4afQNrSK2hoQGEOxSaUr2P
amc+UWUbR2l2UO0hEeub0/zeXrTjuG1WebZOVMegsr01KzaYQ6/6wtZ6z6O1/iZCIOFkXsTLPwJG
1S6kmG1KTh/kNR/OIzALVe8cYwq6mleWy07w0RjudGPW3dzSm0UcGKReEH/bupKtZlJ+eZHbbz7y
cP+MXYO6FsSY71r4jtuMVOd/ieVYH+k7DUPHjYzwEbN1rz42byk1B21N7ZCcUMpUyl7x233RqSY4
7L1Zj/DSUGojWWrWXYHFYkCUGPVkOG6f1VsqBvqP/pPJNptOzEXcGYarZQFj9OSDnqr/wOt/mj2d
wZV4wMozKpzsOP6KXVBe0uD5hraFDs74Eo6cdIVyKKLPGg6LwuJS6afGgBzDbgys5znJT6MShLFf
M2qlMP3DvW5GROAmnK+EQwJjuTXYyjX6mTIPM5AYngRtDk+Q6RVlMFZeLTlTtupJnCeJk1ZPJQDK
biTYsgGrrClBl5m7Al4xayKLAkLUvtx2Kyd/8FrE6c58n61lwBJmY3wWkletxu/kuW5bUAB9q+lO
TJjIgC8To4RlQ34JS0WDwWHBYY3lAjmilzno/qYVNuc8QcMyW9De23sGRTUK4nKHg7YG+qESWBaQ
yo7dOjQqdr7FQgcSn0HT5kg/8ybGeNlJXksJS3cDbhk5LTminFU1RJkU0Hy8Td3BWJuMTYdAUaCh
7jinGUv7ERtOFIzzOXq5yoT7oJ/oG7n3qUh4w0X+IYVQRitbQNGXDmss+iUOFYYR1Nbycvlr2csO
1YhGfztMp648J9lBLvZFFSglRPZFlPsSbsK4HofjcyZy0SmYQZYMJjbTsFfybzwPVROy2G02gWue
AWUJdRm1EEWCyu0FDKFkp+yWPTPx2Su5HShSx2lnCasQUt3syFiBD66uu9Du8g/1bB2hJ+EwknVO
x8C6DATBpjB6Vr5UfkXqup122gSH48bGnOjr4ap/Iw9cBvv9Mu3/35z/v/8k2BryS0H8+P9+EJvR
go408OH4BWJY0LQVTTiuNDle//e9OdRV3+iM4xAW1tpcJJA9wFja8iRUAqAcDmIdQqmxB0rhK6OC
UT/OEmqvZkdwFr3if9/674fy6wlhswPa/u970gtzSpv42f7/fw0xnm/WtYXXKRT7IpVbT5ySX2lc
uPb/fa9ZflBnUO3/+7+5RXrw31f/+8F//+7/f8VUe4RhQjJ07qAy3vrvHxW5iTrpvy//+6dkvNOY
pHK2ISSvOUTDeqroxvF96ec+DBTerKQn5qoZ29IPo241wwGS0w7p46jPrv70kmvWz/smmk9T2Ha4
9nPXykLRDvozOeR5/GUpxVlRhS9ZHDofvwTVsRhvJBm6MSH1Gp7XPjxMz0lZxSUZeFX+EQpIpYw0
n/wcPh0mqNPixxD5RVouGuWYGHhGjTm02FlJRdcQJFoa06BN7uGJ5kr6JiTZRzGU43pIqE9RnHD0
6Zybep8wuGr7KSh0JtvJ+FWKpbxVQ2hRRFTOpupxV9bpk2ukoYNtJZPQkA5odDwWnSxtLY3pA4qJ
X1NkFm/icoBNCn41rtnMD1QhrZ2/KDh68hGJHV4pQkRhlCeMLBP4nRpsi3aoI2/uoTW2Iwdh1gI2
jwi/8jL+GFJ5U8JOXYQkIeOB3qoqTB2x2k1SsrJz+ggMGXBN0rC2K6waxW8CyeulppDphmEf6fJf
K0Jn1jFZIH/Zf72Yl1fY0jjyy/hNC+0LA0U8hhMtJL4bpb0BM2Ey4b4QwbrGV9lRDUZ7gyJJriR4
bHiCWJG5IYzI9ZpDEUO2gxA4P3/N6Zl6OJomU3JGrty1sMWagTYgndHjoxpExb/8+pKikMS3pBme
57AkZDCN5RPZR8RoK9q8M+LyuXoWL5C4NscqTvue5kB7CpuXwB44l0TBcsm9lvxoW0ryl5cU/Uco
xtW6Kv6JKcwHQmxomiZMgF6ZhtPtrh4QPSQSmENDtMhb2hFe0y17Tf78SmrUFtJbWtWQFEoT0sIL
+yMjMx5ERHWYb+nfVozNhJwDSpkSzGORuO0Eem3GJ4pUsE2Z8Gdyrkglz0t8DGKTopdHbW0ovVcO
0xR08ws2N7GOQsFMUdHLW81K9KRRAockIU+WIUdmbGapmf8jT7zZVuZMBg6YiJnMbNBPno9wxNVH
e6kMeXJqV+PBFlj9U4voNyUmZvXMOdsyCYhKZsl2YGhyLQy7lzlvjJfCU5JSDahp+ylgz5/glUmA
AwOiRtUFT+51NgM5/9LqAqirST+Qh1LIhXCdjeoi4jKA1ASpcz8wVRXBDaOUoy1VrEuvRsB+VYYf
AVtZWhUa2Yow+cdjyEJysUICSkVVXleklks57O/nv1HI+p2UsXOrsuJafU1FnhTJSifMdIOzCdR/
HDSwV8ucGtJtKavwDMUn7PkcGxYn1DhQyyEvScnQtzoXYKhBDwscDAj4AAWPiB0PTBmK/6tJd/hr
RHbRUvU9q+w0Rl9JO2HODO9LhGTAFhsFuJA4s8oYIsnG34KkCXS70UdcMlIujVyySzlbzUrbO0mT
vVZyrz791px5TGCqRsMT8L95qQkNcHZvXq+bmh2nitFUxwxxymbIzz0rOG5MOxcAsUoGn4klYHs+
iydDLbpDKdPCZNMPpgmf08S9LjVr9gR87KBlf7clvf0mjLEUwBP4YKpAjoJ6e+qYG8X/UYBmBi6p
CNm2eMLB1ZrzVAjqZwbcKCvMKg2w4CjG80kVNiNFBCpyDpzW7DbZkDxIrUo9RHRbpY0NWJEvptYD
A9IpQpYQwhJJ5vpkSbgjkSuxLRXGxGlN5dBJiugOddn4T2E+yN3sYey/RPWEtD2NciEH9gn5HczQ
mEqDkiF5+f2rQX5jxIenFMlvotx/NHJ/LQnDLHuCqLtJpI03wCfiqI3fiooGVGNo/9JwExEzwHa6
OWOsKl6X/U0WwrMQRswp8F3fwEUkkmQba9QXqcWQ3NrhEOyX5oeYAVOGBbbwOgoFKZ27AJdQT9Dz
qzUtcgW9f3RmHK5Fg3J41L9zvfibO4zgtGkcHF0Egy+8WDdkNwuhlshyEbvI36QDTlhQBqQyc02V
fqkfgbTkSF+9ov60SPs9K7ZuaikulnjgFDxmMOXaRVNNEkDEKofp57QR+h4mzuMz1de56Q8RfMMn
RhQOp9FN7M/z2N5aPJp5i8jyYxZVrAsrZUbCnioa6yS/JZYS+zGZVRs5YUbT4B7AGAeOh2SBjJgd
jyIhCJ1v9RTTTwYfgy70UKBFh3RAARe7KPSHQTsQTwS5WVNLz2pea5zoK4JdcrKGijl4MuYZzXZl
YDmAFf4LYgNuY4wrSJFKcIjGfHHW/CJrEYjwIhMdTp+6UkEOScSSN9J2cOcFpm4pxNWEe2qJXYEs
Ae6KgNJYbwCXqxcZosIM9iWHIkOITrvnIqBBYe5eHYbOag17ohzbDuYSCTvVkBKPUm1CLco93K5o
twukfWkEyl9pYW8PIVlVi4UUwT4JEzRaGIgnI5SFyAQ1VOYG+7XmpEiV4MWayJBworFPVVAPnLeY
2XLC2sbi2GwgNJ/knBmmABcb5kg9DwOuc221iogksg1de5snMONyY83k1j175vuJgfEmW78fNwhl
MqFsMUjU0iBh0C5NOB6GEOSbWL5LJuiywPr2OgC1MsVtCOHkFT8h0w3NgiEnseN1pxYX+ZnehDoK
yFXFSapvR3B4mhERr7I+QvTybFN0SxwmRWPc2wzLlEJ9mzF/4yCvAqEHwJzFDMVWR1J8w9C1MgnP
NbXxY+7NHzwaLpPcYanSD+12jNZE5UG+1JNxq8kRTHOLpn4oQKEay9xZz+JLC0O8NUWm+GV6nGLT
2KDVv86sQBYrZQ3VXTW2K5StQK9MGrF1xMCB2gse1wvtDfOnQlc/iKVcWQIkttQIaXwTMCxFzHPY
aNKvkmm3sqklbMDxlR0JTgwhfWK/Urna0GGTKamkOUBdiNszev01MVQ46EBqQNi+MmtcNQusklwF
F0ulHWu6rw7z0QkQS3i+VWSp6c0LwRjDg6qQfUuQhEPP+3c7LWoIxyQKEZO1eTLjQMdr5eXOhNSc
1E4MImxzF8+b16o2Bm9o4P+ILZNtVcxX09RiY5K8iJ8aj3WOK9tTiVdxAnolxbD4y7RGhpT0iBWX
Fkhoco8gcKkdOKYT6y0apRmfUdCXJi3dDL9wX6wY0udxStjYHqvN1NEjxquajpBRlP5pY/djih3/
LDpCg5631HdcsOoaFi9zXe+sqVMvL1lHd4sHSoEk7UVxsnrdYuycfBTgr8CSNlXCMEclvUSWXtpu
jDWGKRiSSgZcIaLNsJ4HpccnF1eJ17GKCgS3M1LSViPpp5vh1hax83oZ8K7G/WRxSozMftpalxxr
hg059jdFUdJ1jgUGRIRJbhBcQqivJW41yaAKxliN90Ttaw9GjaWaUW/VSY3O+LK6kRw7+BLA7VNU
3Vfr7mFY1bgrLIusFtoVS6tWw/R4anu5IlISqbAnGCYjoDmhjzbusaRdunwqnJ73ymVKYRMWYUYB
mb3PkfmdEAseKNju++2zO0s4ou8Kla3sOZPcnAkExXJBNXBSjHHWsVZ9kiIcUtO1HxiBM9cQy7ck
rDVIwNNm5Ml1Cx2TnK7jKuD+QlOSI2lSLmIhulUyHKIKbE9a1ZEp+iZOf1a32CuQZzFq8a8xFiEq
x+8wA9kJs1nzKMb8Z1fNxNpKb0VMYKXQwVLwVSymznUFqNbT9bL5W/UJf02Q4KRsV9XC7E3rfm0Z
teBECvwvBJvaawDEiKg9WxQitTbf1KlArGgmxFamreRZWr2tsSkrW/OzlDmHx1xYZRLYUfnMYAq1
gG9Y6x8bpAXvIkOzMWk/iylt8Q0Z4U2OmbHC9qTOtvog00LLw1ZXOD+6mMxX41nw1Qx3TowUktgS
+Gma0nhJAlWjSUioHH7E1yt1BGx0i/jU1WigRyRlsTRj8ashDh2HBJriHKV+iIsLJPLsQlxpQgQn
s1ruRun0WuYNudh62DmCidc1eL6ZuQltx5oAviMm7uBdrY+j50aANzERSQ8siQceXSoU5oKwGAhq
NPJrnmTr3FY7bPziuV8QN7iCPDxwnCoc9+JxjRPoKg4bxsq4MJ3AFK7Yq6LbKIRACbmBmL2BgUz9
I+ufmaOrGGuNseC0nUiWC9NaUStgQQI3zpClNf2k0w1tJO00igzE0vmWRn2AiSvQQSzlfhFheKjx
sMvEJ453TSIKKMYeEDrdopdtb4i7p61cwbc6qPjjb7XyFdS52sOI1eKVok+nYZDovBuKmVBJgUJr
803RwV4jIdq/wqVYllic1KUQcto967xwzchivmt9m02Pj1qXbiVhOKaRvOeDE6ba0rCRZ4GGfajf
DDF9ZEqWrXAyKtyeAPEVUZ2uamRneYI9Pigd1JKZ6ysu9z2ET6qQEyiHVn4X9RCYUSAKG69Q28Sx
1clnYhaxqFvlncasT2TuMllg09xKtWOwoWVNvidqCcIKQadN/N1P2qaZu2xrmS2rw1QZ6zQRKh8o
rSZtRTQrDK1fqG1HxVjH6bkkrYHJRvcTi3AqGsABbF2X7KHPhkQQVzTQ9j9Hrm4FOONHPYSdLmHg
LZQ0F4QeouWepybgFEAA3SjwdOEj6rU+7uPS8CtLGxcoA423DCkukcPe0ycFwupLfq4JpkHArb6e
dNukRimwyYljMVc9HJcG4iOmoTqiqub/KDuvZcmR7Mr+Cq2e6T3QgsbuhwiElleLF9iV0Frj62cB
mdVZVWwOOWZVkYHQNwJwuJ+z99rfA0OvbvvDMWnIBAiH0kDEiPqos3XX0Vy3O1eRv23b8TRKSnRI
LXR//Zgf7AYEdl66aAfdYKWH7k1UIr4Wo3JQp/aOTkjAQkuqRyM2acFJjtE9jZ4n7QGCPLaaipir
rcwphdxY8Hv6W02A6Ol7Wu6pnhzUtMEoVaOdHgb260SsVR1fw/CoxgTPkzpHumaOsgrSzMJjr+/G
TCLD1XcdVsFPSDNyqVQ+xuLOV0A+TqO+yQ+KwXRZBWeF2GjMA8FNhrAjV1AY5kOxhe7tFLJw76QS
h8hIX5g/LJbjp9hQ1+24Uyu8FUINDkwLb6iYjIgtuk0qKd8MlJ8Qx4qlmbK6S5tO5ghIHLcCzFrW
Ku01JV4C+stWRmCzoLXse2IJOQgNdlSTZmHHGv6iMNhgzjI/xiBAE4LwvakkVjtG94KDCiSYWpZH
AhvF0kdRXeRpvxZFSJ9D1P7NYLxb3i0Wh5yaFCxWoN5mp7xKNc2UbuoeDc9mx8olNqpXRWJZl68r
V3t2M7ylWLD2Uo3OI278t1qiKBTCDIA7DWCxY1oV0qSsiuKZQ44Ck0tOrippL6XadAtZRXgqGamC
zF16V43ubizpadQG0eUZUoDKQs5HhGXcRZ++GaTXEam+ktEqy6Z1rM4STmYOl3feUWCcsDpKIH0s
H90xsO4IhjpQuKBESPHLUwP5bGayk+nYqKoWqWaU9+ndqErvVi7776xtPnWXQ1o27lNbp6qpQnaW
y5dkQk/rtccs65IVTbmlnKn3Xr/2iuBFkzR0Wbum44QaaJh5q4ayGkPDMUHhMqT49muFaJ+k2Oge
kxgTVkOpdmtOXbQmtIyoi5iIR7l9d5UwJ34d1ZXL7GQgBg3XdUtaRyyve4vhLQXHFrv2QzqG+Ffi
ebCi+eT256CPXyw4ZJuRwPRj0RMiSuqK7BiBREKOXby1nUa4Ikd5RvzWajC08WDbLVIO5i3ZWKbr
VnZPDHThwVJsbeHlgOwlS77P7YK1YdILpJ6Y4vTmmZNXcBP19bDULfvOMuEKgi1D9V9UDxZ0MGMo
NKfPCmypmXqn1Yx/KUFGTuxBUBSknKBRVXLsT64VJ5znqPH0jH1pL5VQR1pjnZTaviTIbGuiPFAh
im5cwSTUwsmpuimjUCLhR2CWJMFstpi6J63PiGLV2k5oTbAUXr6M0tDeqswt9l6mfQSJsC9BmF9H
CVNnp6j9mgx0YrctHC9JykReA00a6muXnNh2IENMs9P6rL4Del0mDPzELiUF2l4y482KroP7RN7F
yhpVRPot/Qw/fIMbbl4tytGsGoaF0ZqPNuK7BKsfnhdtWOm5+CaVaNMZlsHKTVzMpvz0KLytshKt
RJer48ZGiTHmFOsLl2n3VLXPpCRbeyaR8Z3vmQSiDGer7yGbm/RIdXdgIkd8EB4VFMWuQIMwKIwY
MvUrbywVpKw9WZdN8+J54jHMTN2JDVbJfp4+K8OYbBU9Orgu0RxDh/1QbSaRZV07yYCPX3QMpJlM
sVmtrqWwQDFAjVyYnq+voYgShVpWA92kscPUAW8Vl2UDessXgE9lvDxSOlaOHqT09kfKEfBDs2Uo
QwIMFclcFQrfquilDwNUn1pBabQFGisrzF9Do3+TanFWSuPIufba8cs+5q6+7yU1XvpE9u7DimMw
icFtps89q+ItrMPHVqBmSI9Rh5GfoBp6sgz+NbYsTiQ9xMmW87NRfMQeGMVAtpAXZxN5519f9Yfy
pqsnQ9WU8dHbehZe5od7hUmUhkTBe8F8ZnBY+Ke4Q6cHTRe/NpM57GPe/nF1fvq/vP/X08e25HP9
2jYtOozdRhbdN2/p45FQf2ZhzdfmizkAqiREbP9rc7423zbf++vBf7ntL5vz41xoM3n7IZNVPJCV
vprDuX4kEc3pXD+uzrfO2+OceiISaB+Knd2xPsn28wV7F47bX9tiJGTqx7Y2+Wzx0QTPJsTBbURi
hC0kIh41Spn7OKpHEr9EvdPcZBHnRIa7vQotZwqnT1qyZ33Jh6Hvu5ZjW0xp5s26GH/eEU0PMQ2i
2tmptr+eMD9s3hQUhTZG5x/mmwKdyMxesXCyNVKk4V+G2zM/br5nvsiSkjdn0XkbBirGbULF2Zw+
xnx3reg6LOUPsvJ0BMN2i7uV3EcngCJ2YOIAZWuiFZkFzXw35lxc5HR/tbC+q0MaNG05lEsjI8Vu
vlD6GkGEn5Uj+sYRhQjUGTOrP3uB1iK1dKqfoUwqNCdwraRj5lcV7UIhlhGwsS0k5nQfTqCodN7B
p835tmTOY2tM8r1L8uczucXeMN/TevCYV26efsUdVflfz4vnbKihMfZuji0uml9hfu3cExN5RLQH
/pxg8+v9frzL/LI/HjPf1dd0UoCr4gr954eK/vnJ5kfPd/zhtf/bu3+9Qm6F1cZuqt2vx/7hPbPA
2gYAzWOZCTDMLIY/KwGkoNtAhz37rtMQLioyPjtzqI8RpWdwUtAzWiulGSYCSpdvkSYXW7Nw6Qpk
/s6MhnRn+GF5FGCDuyqij19729ZvSb6Md8JDt1JkoLxArBDfIN7aUvo2CFfaQzXU4Yoy1ScEBZ+b
r7PKhlQgDIOaGD1LBbasY6dqDwEGBlE75S7Q+xAGpYCqLim82fdMwLJz1DGk2YWEdFaSVl4dET7i
tQVmJZr1bVoi/LRYi2hkny4qGB5p8gWYU0BgRgPFXMAhkeXaUKJzsMujLjKy+9qggVD4kEFklBQt
VTKo2Sb97hq/YjBFqhS9fKeY6YXpbbXsYwkhQhBuY07B29aQS+LPYfDIrMskN0BOZeHnykhckDNO
ZoHbnHuZxlJDB1NWadM1kxo89ux9m/XE5kWYtkIScSkA5COHFlAcE60y3I8BoaSVi/IKw5ZkvYvv
jjGIWhsJjVx/6uByV2NYmI5iy4fM7xrkpy5idOLYPAsDiGQCWEZWWdMHcTyP6HavQdGTVhTvxVvT
RPG6TKt3ySR2IK5pNOp09KPoWhUstkM9R0Pt49d1UYMqNNcOmv5q6uqbEjWYZyuKaVNsrm6gHfcz
hAHZpY2QG5px8YTLIFnYFpyTsva8RWFRJ5UjEhJDmUypNmJ8EFrW7wqTtYNHDzaqg/JgduJMn6Bs
6/tCYl4sszKtUxgmAzkjNIPPhJgcOxJc0Y814aq2spOo1WLd6e5FKNp7Wkx1Wz6OYBemOKKIhQgb
kIEkqsDRSL/NODjEbodx3CvEyU+poXE6gykUCL6TWDl7UEZUqS2XZUU5oEACM+SeAjpZfpZq9cuI
xJYAAaClaXGiHMAB449XIiXvWqPsr9QeFY/JWqSjADOI/92a8GgKiiF7oUkDrqko2oFE71apLQ6m
exdprX5Tx8q3ruDiD+IHjwkKjvoU3a720lYSuJR6fPK3wpNZJoxKuNWiSddr1B80A6eFXydWwLSb
a51h4lObeJWHjGoq/FqaK8xZiUGsAiSwVWpKDm0sZZVF5ofXlv5jRnnLdSGN+h3g2g5wm0tdd+0m
7l6Kgh3FzAel0NxdwTckbFVQ6sz0Bzmrj3Fio4GzGES1pMNWp+nbVvWtbZ27p8oPyr2mpYwjGYmm
PQZzTFh91b4Ucfkq5XyCJEcEm7g3eSZfK79n6cf33YpVqzMVVJvhU44McSoDfAJKRQlP+ISo+uiw
ogAZeKi7z36AqHpMJZg6fsKkEw9w7bunbDSo9XJ8QI8QHyzXUFRIu9TG4Os1Bw2FXYexpypBKjGc
r9UOGl8uEg9NbVK8JwZlgwpCokOsnnzS0LfJlPYQv0TV2hy17i6pS1SGIUIZvlsEzLUvzszpAfjJ
iG6H9ABg1buaDedkj7aQpgXeulflVyu0JdQwhA+USvQwaEEDapZlOOEt+rn13Y+aEloj6yAxFORd
fcPnKprwCrB3QlKruGfdhqObYFZkMcPCbqlM6R6iqbZz1/rYK6vcrLt7UkFpW3b3RVVJaEv9L0Vt
1GVBsWBd62h+e1mBZ2/yonSJ0bg0kxOxs+1liWc6rpIa3gkBt6K98BEVh1zHGsUopQ/yvIpNCqOS
Nj5K2H7IDqnX1aDzUJMi5NiMQuirLsRUAQ0oiVAaG5We7BQVsJAu/EsWMxP1+4mEQPeO4A2r3tWe
dClGdGE0qx6aMcbU1N50VQWV16L2MeQy9kKiHfed1XyEkFIptKWffQiSsCvJpMpb6VFIBHXUZokH
SYeUWZDsK+kWxrbGJOW1oYSfqRR4VHPCgJIPKBX9XV8r6MG1gGox+ZBKPh5qxDWx7iWnSWTGnmtm
bXCM8pF83CQ5Uie9CGkWoAfaKguBdg+FWW6aGv0/QUzRfij5oe2xOmteAJwmb13KCP2LGaEBifv+
ElG333c5jZXEwsbVhyqm4czeSX300iF4Nfv+hVCAdCMZ4akhWhlRKVYLQ8HCJJXq0tORwg/tcGzK
MN4X66FLbuJcZkxN7bc8rSjm11h8jfIxsqQAzUx+Z9DUgugORdTgzJwI85M4WnlJRAyMsoR0Zg4g
anbM9sb+3QVO3klDDjSHvz7E8S5LWLKtBAty4d/LdqXLSHXtYocuJykQIkAB5eXIyTSA29FmxgY1
3TbfMVqw8QpTu8+q2jvYvv4cxJANw1Jq9s1EsOmmCyKWMFN46QNJnf7eT0p7P2j9sy8AVVQpsbUy
sz3kJVyUQvdWeoKcIEQHdYiKVN4V9ugoU/XQrZRNn7UpgV4sDgrWkVYFMx4qNDdNF8o/r82bPz7i
9IQqCGjMreYb2jl5uZ8+udXJ9yKKgfyYneRYeMvRRT4lfX3I0yHdMH0krZU4u3pvKRZXaaST42uk
qiPbAgBJaW9SmIhJ+aJ6aP9lG53nPKWfLzSLXUGZLuZNX1hU0FmwOVpdNvvIffUInhx/fCi1Irh9
VQ/VDXztELQc54M6jMaFwdHC4pJFRKGALoEE/fPaX25rLZvzpoHBqCQqaBlOyychcmpEntqgvoz0
s9c0v2cjzkGGv3INm0D3lhId56VW0OzcyhOZdUakepHHmiWVNv2U2tlOF6GpI2Wat4MJyjoWVGPs
WN0ac04zcWiEmk5k1qS8bWtL3hkmxCJruhhjhLyiJi2jk7qJVAUsdt/kuM7KTD/5JtG7iMCU/dBk
6n6+VkpC2eedkVHMoBTrTYzYQlWnuZjOkoOt+TPM1wyWuo6hIeHyg2OuE2lcV5a8R8fe+oa70wto
JkqE6NfLfUzwsUwCkq/e0hbJ9qlsFRs/tICyVS8j0SoL1nrJkrZBwU+YSY7rCSw7ZqXuc0VW95VK
HH3DOXRRG6gPTIWhckInw7q0zRRaAMSb2IWmkCMozenWDZWmLNWWtQx9zGvuusFGTkx2J5sl76oO
BCx71jHzRTNdkzsXMf2oUhj6HZNrpoHllDEFkbK00kPaytiXBCc0qF65jRA3DFA4c0F9dZfV5G30
U6zoOF3M3/+8qVJSjBOKOXzdHgC96Tdg5vbzwu5hqFhoBZajLVDgxiyIFF9FVNptsgbFS8GE155A
wr92wHlzCPGUZ8PoOk1l3alq95ITd8E5YtJKhmNYrX2pf1exxzPum7uuzw//nmht5Wu16M8KMMLR
3lHcAb5JggThmCHwyWiTRatoZeIOk17HT58FREiZcIW8Gp7jyr4v3sV9dqA1JSFSRak9zQVhLodM
iJc4msyj/zC+gBf77C90LNwH/z5B67ExBwiny+QbiOJ0UPYbyp50EHN8SbQChoWqrWiCQLcmhQSV
QP2cTsAxECRrBvXxDp502QF6XTfSBqqj326l2/FSf2RsDsgGFxpiCBBH9ABfFA5f2UGYUz/zVga9
OORf5UK6xYxGkzDBDY7wxjgG7zKrGOypNk8akTPgNxYHvFN1uGLmXPaEpSwVbe3rH4hhgNXkgEbv
5ZcbAFar4Aq4n4yWyTYb3QsqpWKN7TycQFPWcfjwrsoRdRrgghX+WIgEMa3Xz5zTWbw07gizPCt3
4lXdu3fU45nrVdixVNi7C9c/MmdgWFFewqfh4n72eMOfOhjY9cY7ysFOw8DfLDsGbYOF5ForHEEX
Czn5EfjsmLPoXmTP7Ac44Ee6E3SNjvEhfMdxmS9TdyVrpGriKMARi94CYy+Ah0YsioAW1hJ5HKCo
7spMjHEDSbx9c0RtsenfvWKh335N6aUDUvnjgM/bKjgZbrVia5t3Iv5Btv/o/wOC2JUZiZel/5Y2
yTUL0rr6+2+KBc+deeF0+8RrR3gi6RLTCd20kKbKum5w/8fbbYB0Bpz7v+cEVYaxKmPUlPa5QLKy
ir7FgQDS92bv3UI5jdEtrCX3GpjOkGwoK5pH6zR+sIcwr0WjF09sl8Fw5HXpMm3aiXjipIbexrd2
bnqF2dnlMFQdVWyErdBjZ96wUZD8PUM0QRn4OH5D91sn6+QFCscJD+g2f2xvwtvkPn+sqTgsFaf8
CvcQa5/jNw2Dy6Y9x3vO/egwJXZYjPVbdTPQkdiYNwxmaA22yGawUyOfxrevYmwaNkq31ByOjiWY
N5Slo4Y7qn40T2CYe6rZR4NImmb9Vbafxn1yBMfrf2NMwNBgfuOAIrTDOLBKcwCmvYTviCGlT+rW
yF+7OxoL9wU/OlYbWMXcw1ENr0Eg60dKtsMw6x71G3bZmvbjLWKz4gmJhXXO1meMEnh1qQ3HfH97
JFEvZsAkexu/o9Vfixv1EQrm2l55X+M78RkrdRPcxxOnUXm21FVwbHbS1t9oZ3yh2muVL7FPrbDe
1zdgABE8J08ZZBFcLyibVsidMUdynJq4Ad7D1TLYpTq41gVH2HCZEAD3qrT8AkwWmCtmBw6Rsc4W
mCWwTzrYPgbCQzMZLw74FMCpr+RbmpWyz0znSIkcuvhEb2C3RcZ3JtVoYzqi2EJk2PEnemv1Kn8m
ya7Y9m8swfmonMA3+r54GQ72C+vKDTO3NXPzrcAx5EyghfOL/oqSEIXoah9urNWc6fDf7/kT3P+/
7PiGIsmaYRq2rWh/3vEB2VcoupTuTCLdGc8S2XWMMexeD6b9rEwKU4KWnPQV2wzKJoxGDziSqon4
PWmV/4cPQxDCf/kwsqaheJY0sg/+ehTqYd0bpd1250ChVsj/tbTz09XAVwSiDYcN5w8Hn10IHYM+
2CWvLx4NXGyWD/hHgsv8cf7Pn76c6h//yfZHlk8ze7/+y+Y/7rOE//5zes4/H/PnZ/zjFHyUWZV9
1//PR22+svNb8lX99UF/emXe/eenc97qtz9trOZwiZvmqxxuv6omrudPwfA2PfJ/e+fPiIr7If/6
+29vn0mQOsFUcvuo/5xeYUnWH3656R1+PnP6E/7+G/KhIM2C6l886WfkhWX+TbMNVSW+QjIUYi26
r6r++2/Clv+mS4ZucLNl2LImMc7+nnihTHdxuyYbJmG4mvnbv/1MvFCNv9mGaVo8xVDmV/z/SbzQ
Lfkvoz0zc8VUbUZ8W6PMxZTtzzt9YARaGMuVD/jrocpseze4E/SsQhPzPGgl0rlEU+g5sohkeahh
mTAqijOStdai4NPo8++xqMWkOS4QU+I18EAEd4F9Hao22dPgs1lSIqEUrIRQqRwtpYL1GzSQ9LxD
Lof6o0SfT/4gLdG86wv9OIoeYINujrddNSJhThjgqUS4V70ZEGMAYU2KuF4bBSywshzoIo/EcKgV
4un4ucvyggkX85tWOfZxJK3SMt7IXfhkD3D/I8uD4RvnTGN1rVh5ErVYxOiMWQECi1zXj1UYP1qD
Nx4korfTVFn3tAJrBTYjEqDnztiLhrPzkKblVUnILtZVG4/auEtcTj90fUELqIzeXg87gug+6CWV
eq1TywW2ArDRRc+pD2268bCBRnZYPkk99qSsp92PZk/aqDmdxkZXWcfDNRnNcGUhzD7PF7Wh7FAX
DSvSyPkMfBux0q2HhtNDRO0KfEGorpKQ0yokVuy7AVGjaHLPOu9XlTl50XJ3yEtYIMHA+k8e3ZVt
6Bm6e/IA6I7mcDMatAJQYIZ0lLckU36V3bCTSORaxRVTAVJpN0bWX8jiHaBrsYiCZ30t49ZchJ1Y
9m1GE6QVrNxD3OwROmSqAvZ+pL4TeJSJgPvkeXWfdBMgsgf2Q+wjPIAQtZOBuVDtMpID7AtLGaVM
VcBItHaTjBqKphvbkNhktDKjxS/I7FgPk6fA9y5W7BMh7+VAnM1nCS5S1FXajejARDDhngp2rno1
FAbv1LReXd3vAGgLwDxxDp7eDFZFxtQzweOyV+0OlI6Rx9hBRXWKMqQ3aJWcFLMP0e1wAwlrRd9h
xD8u+NN0EkXv2iCmsMKCuCoz6vb5xVPSF3qwhFm48BoVQiOERV+3c/NtQrL71gpojKo+c59UaZi1
tUwEzApJsA51p8Il1EcRplBJvjWNEtPHWF8sKIiyqgSnCCFe5akyVgr6CrWgMGYO3plW3U5EEWAY
NbPeI6ZXdLOOSW5UkKup9yHY8jiPO2qh7DAxhF+G5Z9SV37X/AzFn8uUXODiuRQlntYC/RCFvcEZ
JUgTNfXNZWMEriP1iEUNe58mwQ1d5JCsK+pGbS1/WIkHioWusxQRA5f18VbYNoI70XAmt/GWj4Ai
vENfLTMtkwmyi1tMNFDRifKKVmNNRU8LCbUeDP1oyVGNb9CHuAsOYSC8bemjn7LbfUd0wzgqH3oZ
3WdNLWBqghMfS4niVW49hS2ztIJQrqWvWTsrJCtQKwgTDuUUVhOz7yHPrlIHVCtVweJnAdjkiGJG
Nq2UB9PcIDKlZ7gqEOTKQQJMPkBBl/C7R+LiG/S+86F7aLOU4ijZl5Bh+RONAFY6wQuGooJ4lLt3
Rc0eFQpZyMjqLWtzRJUa/lND9JOhs6jOrK/PKoiVIt77qIw1HY5UF6H3pcuULH3rvfRfTM3o119G
AqO8Uz5TlEB4mxbata7TS9zn3TKqiufBGkldsFosvmOUrVGq5As38/tFW6Usn+gm6CmlfCmNvwuv
u6OwR4gdi5eCxXjB8tVye5DFTU/xiUVLo/rvMRI0vrzovYyLHdm1mP5rQjBTP3CkKPsgfrVeIu9C
/lb2lL2YDqmICBdtgZJyDNJNY5vIPhIIdxkr1dCXkZ24d4kXf7etyrO0gVqGDAJyzMprOo4b0RXX
2L73LVZqvj4+2ZpAMhy7yPeVbcH+NlTN2cirhyAuXtM+uFaxixbdEB5FGJhV+Uh0gGs1rwnqxn0O
xcLSlYHyAzK+liLGylKAXBAiHvQp2Uf+KDlpu68B2SasrJoy/0y//M67xn7c75VBOhu1zoHcq4cw
sU4K4T5+ghZYQy0Z+roCzJ6EQSXHZWdKFMsNS31S3Pg1jt2APJ3hMw+kXd4NL0NOfbto1WcvygFI
F8FTL8ln32/0jfxMSloE4N8jIUfDlp0E6PCLwAQDZ1RPAdhlt3E7Vpp4AQoJZaJajXdj2n6juC2Q
oy9V173RZQlZroLsS/kmID2bSt4ErNRhdrErzySTYqSw4sO3tJ6V2AiPJKnzFWP3Wfc+MCm0pGR9
nq0a47ehoBEWhIK0efmJhLFfpmFYrmrea1ETEK8gfGwD6y0IglMrUxyXXTTujC0PoqzulI4zqxvW
X5peHqwypN1linVvexdP37sFdT8SWFsw3DqofTFuu7QEl6BYLkA76YBOjfs4PvIoARw18CEDAnv1
N62Z6hWB9lAoBHVGWbVK7FbZVQmNLPs5lLTbwSu0U+OD6WyHbD+I4I6hx6p49cooAOJz3kCDfUjt
8WEwM2AAOMerwbjYnfWmi/bRkPCqqdqXxRlorcRwV6kN0vtBNTlgG1eFk0dD6QhF3sUGNdGKpgfT
iGzXhE9mwGqSjAZvlRZmhI9beUncNj/z8aA5qYNjm5w4EAkcyWDudwhS0JZMY3jXDA8aB4aDOaD2
kk8O1XEn/I5zsQZah594SBSmMoW5scuONAroHMyWDvS3Wfm36Venxju7YHHbBC2yTkN6rlydsCMU
nF6ufRT9jVuohjNOaZNNwoIgYBblVbp/aEyKfaNhHvNm9BY64T3+ZRg1lhaeBKZJZegK5a8m4VSa
Y9uCoarKPuG9tI+1xlz6RfKu2PGl1gmPLNN3pdZfveqxb1HTBvImhQSMsh9utXXvRlua4Q8tJrxV
M9FeDZMFP0BzqV5HzD/GKDmZJYKGrnwbB9yvRX+1Y+1WLrwTNchPpTB2FfBUpaaoSV5Fo+dP8sAC
12AXkwoEE4XYsjeucwJhNzhC2g2dlhQTvPWeNt+1D5Etq1gXJV0JuizOPnp3P0QfqKEIHUanL3vm
c5XS1/P0T8xWIApd8yuAiNe1gtyaFvxgSP0n1u0X6ssu7VO+MdpJeZnr204XHl3s9DrEtUk2s/ka
pPkhVek1MkE4eblOhyayrSXfUkaVVLn42J4rpn7ssEulfR/BBNPUuzFL791r6wcjFHtrmldKhbqH
SKliq5DZrQNyCQqflTXkFv4mtHSYVsZQ0YgnFbuMETwT4KSEvw6SZ5FHMNYaFIqYIq1t1g6OXMC2
xMTUd+OB1vYdDXjQwJ70UMtTbyNhaOkT6b4Zyl1hGbuom6AR/dOYQDJjcupuLdy54MwUGpLU40ZD
B3db2xuq/3DZ7C4Fu2Hzq7ISAIxjML+1JAQDUDldX36KS4GMu4VaaGswFNpNrSmvdlSfQk+8m751
q5PEho4Q1Ho3FWdHpBwTyD7HKFRl1naM7pSIYBDV0O/lMs2XHckvbludlCqUN3XMz0+DeptqYN4j
BjotgA8WoCg0sFhBPQs7YFAUOsLK27DLBORATCcZKSSMTxiI9IsOFMV8VbcaAlTwJaD+4W7LE8XP
e+btoCh8x2qwTc2Pni/mOxS+e1ie06v9upjv+bVpKkSryEOw/cvtf3j7+cHzB/vLY6IoPKhKk25o
89Xyan4cZ1hcE/NVxn28pb/eqtDlraV2PpN1koGy5i4zIQzPLzxfkMoOa2j6C39d0FL742aD6WVf
4P513YHyl/WWzO8xP0r780N/3KbtJeapLJMp3VcaXYpmuhiTBpddMEFeXInCznzj/Jj5Qi/prlDf
SJaVcZ/5I4znPz//12YbURBtaoRGRcw8AoDk728kZ0a0KfiGZhHerK/zC7oR8tQ7mG8z2z5adjFa
a2KR3XVFz+lHYsQcFuEnPd2d+WojvGsKjiRpNkXnH8Wp0s6crUb9xHoiDB8wPxigIBbuijP1HgBF
/9LdqHcUoi7ZsgAcd2DmQpv9Idmk7jJ/Gp+YkQKgzz7Qk+ExWjKT3gf3MnRubHXWEU9lSMeBVdAS
INBXeLHPsABHINd9bt7E99ZV7cfFB3VKggTK4YglNlnSWZcWLSyobt18cfyyVoFvRxhq8or2jMQ4
AzbANnjrGHiSlZRsDGIo9oBhuFp/pMT0AFQZMBw6WfsKXZJCqM+pxVHfq5MLh2pZbdQnhhLcB2uS
sJAELdzH/D464D0kYgvUIv45avzk/eGW5JR2ijeYm+R7hHY+DRgcNdrKoHRGWsU1vlhXwIVBsYg2
dbOWcM54LGb9S7LPbr16nd1OPDrgO0hejyn+BxzoO0V5hibcozOxiCUWJy5lc2GBGvvCPz0a9CR4
mbbfse4x9sEm2VDcr8SWsj1LVryU0LjKaM84SggfqhaV6IKMaV1DtgFn9aV278IYuO9vQ+lBvF0R
aNWuM251aP+H+C55ZYCOr8FC3mbLmOS/4oagwwUKYvzblkMXaaEwyV3QyXiz18+mfQHVA/7DhZoI
vxKzTOPAPKwlcjvA8ykozUDkLVliOjhTwjfoIdtyNTxrl3z1wcLUO9qnunOGZ4KUxSut/CMwU/3m
CejpBUjxkeJpTwUY0Y+mOiwPiUVeXuEWllvLuWJc4uaFhr2Vv5G4jaV2dT+tHWR/B9kvOEdrB813
Y1yDk7EzPtN3/iXB6at8wvn7HjxgV3Q/CemtnzSM0OHCvXorGj4Lpl98AcB0K/YrH2vsnkwqw/mS
rukTCIsrZ8WM8ImdWOEdZzHqBK/uy4f9YF2tKwqySWS56rWd6+1tvIQKOMgrRSRSycw1+vB4saGN
QrGczPgHojRea7FcS5GjOq/Z+eLdPuuIimn8LQ8m7I8LaXpTOr2+NYCsU7J2F1RkLdhVy34J12wj
3w446R+opp+/1NvboN2J5VcN7vQ9h4iXOeElgKK1BLDePNyHDlhz+TASIrmY5iI3vb+JMSw4CcdS
uqSaU3WgMCNIn4X4ImjiMhDUmOMOWBAr8tAhxDuQbVBsiLXr+aayU+z0JIGtoevWFJNeUSf9fisF
jbW3B7jRwpFIb8l8IO67UEMHOtLC249A7h943fBSbIovvD7sy4SlICVLO6df5o/VkRWKgqF7Q52F
Wg9BjexsH6fw2K9Lp11jKAmIaykvaE1VhpDhYp16iOfEfG0RoC399ZdGNAUsO7DCARTo1Y895Sta
buxlzBp1YQ5O+fQRbcotfYl7aj6cvwkTICYnWZIIXTsDpIiTOOP3EQvaeVTtpsOZH5O97ICZ3CNS
g/jAr53M3d0D3Ut6XuklT0+utzOpcey95CDt9Q9aVj0ZI+MN5j5324AbNrZ9sQvO/tWD/2ous1O/
8F4pktCbeKJxsKBD9hqsoj0awmDPOie7YcLEN5dtEBq2yc0aLZL5jkg2Wkmncef7h3VGGhd4uvNr
ll+Vm+Y7BaEwXEqxJjmy2MIBN9C92Hxrmb0s3qpzcEv7FRsjXLnyVfmM6BzJj8x0KWUV7SrYUJ8c
HTmHwQpDl4Cc8QhP1Nbe2k99Cjw6FZjaiE5avGJQh9r8HUiXUF2801M06F1CndaLdfRALMwTzHLI
x46Y/FXpDsMqlah64V8ATxMzkDvJV7YpxZK5FeaEr1TfjZBdaZRbi2AFtPbEzpJt+FZW3h7B5PDg
Pzc33eb/cnVey6lz6bq+IlUph1NQQAQDBpxOVE5TOWdd/X7kXnt11ar62208bZCGRvjCGwbjzOgs
BwRrt+nquWDaxrIhN5ILdL5ckI+8PzMdDpc6vJcniUeEYuhbOtgFAoqQdTb5nlUIHwFJq+XIGokd
sXhWdqjOPSQbBLxqHjtwU88J9RoE4cH7QxcHg++hnzDx6MdfuEAb5O+x6VC+OCw5AuvtdICJxeYA
obv8QIgCvY7QYQxqL7xiaJS509dMpApuD7ccjj/o7euzp1RTfub7BdMWpGrEHwWZEibKKXKHnbrO
vYoGVv+CWUmwPvaYEC+RnylcZvcP7DIRZbr+Oduen7lE8RdN3s243vSJrWcK/Djasd78hO6Zj7dl
aKNGvEPf9u9/4Yh3LE2dQ+i47WMSV6clqNdO+gTucxtciwv62Q+cTSN1B+yPkcBlYCy3qGZMupd9
i+h5m7+LetYIdvED4ArA3gLYIwBH9BbaJxzjdJsIHtq+4yP/5WRgG3lFomFVyIE3RBPyzDzneAv2
9UZ0wADvmFbJj/lPR+QbAHLDGeUyhVrWSu1xQLmcpNzgtMGKA68jGKRoXH3Jv+CV2M4z69tA0FHe
BtTnaIsmN+jai3aO977KQeQCjsXBas/XvV57eKdukPMAg4MeMfa0IrZl18WPf7Ue1bO2osX/VIE2
A5sW3S0QBMyBp/RO4v3VvYoPFupvZONHEO6VQ/2BSdKWzZM9AxQ/rM4v4zCibhtu3PDQf642rCyD
t/Az+BAOsIQPoYtwJiO4HVyO2H3ZXlDUpyqfXeTP8EBDdaICgq2187cx2WxO9mS4MMqylwtaIRBy
NhBsaZY98XDaB8o5DCHyn+tDRNOf+01srEFZS95A1QifCnMF2zvsjisXZNMBZPgEHr2w1+HU5+Lb
lED03wJeOYBU3JI0CKv6PuHQUn6AuCDgWXEX+W7OL+qQHfB+sAWsFjJbD45oNcsY0eGS098M06vG
G7wTNGcBQoh+yKPVE19TDwlt3WfUoba/nqlvhd3BFj26wagRWhYS1vhtOughI6LEI1dADmz6j+Yc
uYl1qXaG4wUu1Sw7cIEkbpnlz4odg0lxxuuEO8A5rL8wgcu/a+HeZOF2+lHIJmXFOgnAvcQ9MEMB
Hz4jvEh9Baopd2ASLSV+C8zlHKcHiNmAQcBh7DrjMwP3SLyHo58EIWm5q1XmiD5IbI4rylSTcaPE
qQVHescquhOeUHzL92beIloO1E4GXmmu+N/gFOysAW8WKgnAm/ZsO9IOW4RzQut9p3yxt3GeEEhL
iPKztbH8e55cfoV22Vgu4Ur9gOZbTxTGfAJVFt6ZnSeCRbXvfxEaf0A2hwldsXGg641hCU0gNo/n
VrW15xpeHvu2hrQ+EaTzvRyGgHbMah3VprakecPqaOIs2BqztDmu8DQh4u5wiUQKb9vclmpXueqv
+itUOwR3f0dPMQkj3qsz69x4TZ3OFzHi86mYyEj8cD3LhurKJn+WEMcBJto5FIkb9NokL22oQG8m
StAh1Dr2ii0+xDG7GCsebT5wKiCTiHdklDDoRVAJollf+DKrVZ72k3qmpLJkYIld4TlInkKsBk/p
h/EWYLapPk2Dy/ANP1AF/zMe7H2AwPrUUblmjzOhKn1GOzsLJB54muG4QuhC+VEc/VqFbsDAbcEF
pYLD8u/TF+SKE5f1PKMQwb3Um7s67rTwqIFm2OqneS86Q4/jy7FML9MBShimqNit1Ps8g4zzK6jH
JHbywv6Ixa0gOSJhEa5RCFRs8GvhfH4D19U/NZf5gVTVKLti+Tzg+4W2YmpTVBEfbbxDgaDnCnSC
NF/RT0p7m4WXYHo3422J4jExAwqwH524ISJ87agwE4JDg2y3MnglqAmWa2CdWTsEGLMX9mcC1OUA
eoU5r50pNBq4LKwmaPi52Hj41KdgHT2mUvnIbkJ6p6mzn2vEc3xspjgJxkvmYuyDvnpLEgYmu7Kl
3VDtmvyqR/sJ7cLgniXIKJDCbQt7oumGhj+7Gf7iq19N+bVijsUMfoCbKZdeOhPOrIZ/WNkjr/Rr
/mIlDDseR+Bkdi3Dq1U3RSUmK+8R4iiR4Fa4PQVbsXJUhuZMkzZEUshgb9ti1qCg4JAiJbwz8kMd
Io9rT/0/8gQUE8wbtRBI5pQagRXQo0MMd9QofttFYosVWqNuYDkYBaOnNMHxNWy09M/r9MPDBumX
wvJox6S5rX1X0XPiF8ZOcnXAKslxRjifIIxzRLPp9MzXEFPd6Eg5Gmdu9DNSaOVQE9EueM5TVCRI
SATkPcRhS4zIf0kGEZNYmwewfBENYvWl4w3DuVynF8xysHlCTX6A2J0esP8x1E/TuDSg1MU9R7Yk
o4PwNX6o1La+Kthn5DK/nEqytv2VkRPEOa/fiRf8MGh+HRHjYvcKeVR7Kt/4o6ONAE0jcUfF5Zim
dYyyihrvZuJl4aG5Xe7i8a6jmvfaSE4e/QSAt345ksDvlX483blo9hww3kq1D6mFcBQRMLHXLdl1
Qpj2zvHA+bTpzqwbrDFpYbtnbK+IX2vq4S5xR3dDNJwdHQv6p/Az/eyOH5Vfbj6qHwWbuW8QYzqc
ym33U6ns4JjiYS33GbMxzScewqtBTMMUfaEs0G6aC7nsLj7l1wTtTWrsVGZJ7z6FG1bt001nkD4V
ezhPupN8E3ZhhscxZhzvFXrzNkSV+mH6zdfwyl5a2HhzMfckJvHUeC0O4g7dJLrIRKl8Lc75Kd1z
Q5vupu3W4gGaje568FJ1/0oEl+2GTC/Fg6aoduPz9NM3W0KaWB7wF97Bu9coRjCraydvPyZmZYXW
omvJ1D1MZ4L1wcxs1wGlKsEr0HKqH5vHlH7uBQXj8bQeJNONtcUnkbl79YNtrLz2HgsO7YAzsg8m
e9axuLF4WZGZS6+cegF7+sQetJEJn8YdTtU0wX3piEAbs2z+Bb3/A5MC7A+WZoENFxRrJ5da1D/x
IV1Z7nxKTtJw6WBg/YBMyn/ja341DqVnOIR3+unvesLhnHyLznLEIm1NmwnyK8wOz0F/LpL3xdi3
+HuN5N7wD/HkMJOnkhICYfHaMO0fCgGV9Zq8kZMbLkZ82k7+pcAkfKVOkH8bld1fZYdIhw2ywMbY
5jkU04Wp1Z3JVKVXwkt9270jogbjTXHPos8TN7zmTK3kz01tid3V3Y6IlsGBHh1vpW8KR3HbEotS
rKajnwUkLnC3TXdlugFJ+tDfW3zwaPCx/wHwPBE0adb910AR1pEf0+iStA8KUlk2wi6eZINFLX3S
DDHFNv7c6Oc4/4fAzSsf3o2uxYzmOK5XWEjSOSvWNHTEu+CW4NM4qjVsTUIMUJ9H3D1d/CKaaEM0
qyoXhBDFd53ah35B2qz9ZQL5gcc9yKg6bNmycOFZ/MFOP5tjI2+qO8Ikwvdqh65sc4ALgwPN4YJX
8qxuAyovtR0ecQR7rb9RADmO9+gQvDaPkQOTpBPtNAjR5ia6btF6ujXGK4hp1II/pz2iC5QTN7lr
l7ON6A3a5FjX2Rz2NeyEz+Afxm7WEX6YVKFQu0nj24ixoW6zEkv9Hlu2gYrxcKyGt/GT84yP+cg9
jVioe3+t/uVY9WnUm8jZVOFf1dJU3aYf2e1eYoVybK9EI/0HrnF9uZXlwyrKjEVruQNxQZmxI46l
OtD+zu0mAq+2gbm2IIX4qxw865nY/JA7ZJj0Re2eGqa8Wrm6PEgxfQqf5tHHVmiWD8Aik+UIVER2
SSY4nosbsUD+Ic/e3aAbxkzFCmJN6AjC1n0al2bqIGux4zdBw9rFNOc0px4/FeWDwByafIGGRnsS
F2rNTnJs05bJnRuPKnBG9YJ8UPVKzbdCOIWNhzjUbA/5i9mdp+aZp34SaQD3h3TgVs9WQySQfZUc
BDU1uCSswA0fcuMozm9U6AodLsUxKCAWffEfFRkLCM76f09KcEAyFrr+wzKuU3vQ1zhUjy8I9Oww
P7tD9DWjnyy3B+HAZ/RU/L3gX3Fm1n9TG7FUb9rhwWJiwhLYbGhHcvy1PoJiwC5ADJmNFTonLmrP
RnCA56eQXUH3f6dORwiPSvIrES/ZEgXLao95HZh62j2b+hF0lM+33Wv3yv+tFbed9mo918UzetUH
uPb6ey/sSLyemPd4rqTeAPfE6V4Htp+lcgjD2DXOZBpm8SmOyIfhQVhwA/aUndhR+RjK12RtLOaI
XZ3wF6X8XeKuanLwVvFjcLovkksgjkB4+jN2eGtBVz7gzIgdGMnnq/DEMVTabKo6iBMaPwRR2A6F
u5yqjSdjEIMS6uBOu3VAPriidmQjpREG83PNojkRQYchogTr828HzE9stzdy9eqGcu+fyeUXozW8
EmuxrYEWRiBvnX1sesSlwXv/iL5JXYiLqeWyQUK0qVxjJycHEovDL/J7wXus3ggxE4p+9IRa+o9f
7G7TWy55A7+joyJ1ANKPXTe8vBtFDZbW6qCT+W14QmmmH3cSp/SrBKfuS6KJjQwppZlAclPPJ7Xf
TDFYEU9UcRUVQRWThR1Sw9okd7h8cYpl97nFceKJQY5rvGecUIUM4fSn8aE68x41DuJql0WmfHU3
sGRHCh411RoCUPOd6B45Vb6l+k8qREghUbMiRsCKL30JyRVBdTgEI5Kyk5Jzv9rJoRb+D/tCIqpU
31Jyh202Oij31B5hCcgIhNcGqkq/o/YKKRakVbhP/DfhRk2ULcNLoz0lJS6LB4T1y/gbUs75t6qW
1sCmSxefJsIqfO4YUYApKSlSuidJCt7n8aS8FufU4Wx7Z9jE5DUgziL/NqnQpKhUYF79NeGSGyNY
7LM1rHJLj+mLd2JbQUGMuhQn/NifM9BTd52kdmsiCVIelS9VPshscBj4goqd1hmYvmBLSWITnJL0
bGgeb5a1iMg+yYwMucVN2Q23/IVOMmq/eD2/oBj/we9X4RHFlu4LNQ7rhn4Vi5guuwPO7sQEp9Jk
cviUFRVFhwFh78IwlGIPifqajoDdGB3L3CD9iQOpmL5ozStuqbTaaIaSv6Z3fpfCTk1wgXS8hiKj
x9MYNJpLzkRJiLQa60njgqIG3/B3Izqi9rSDAUImMTJMjcdbWYWPOWKpvdKdwefbei+Ffx3oGNQ4
qTDFe2rtk/5RWK4e7irVJ3JulUOuvQps/VyzgJtn483hLmu8SZzXyROvmQdbNqn16mFpj8zKgt6v
w3PAKKs7LwNpmxMJKDbZHO3ZjcAE2Q3lD4PO1XOtvDPfKBLzmXo6T7emQFqvY8P9dsqDD2QnYzwq
tpTpzr/mWIxodiE7VBP5npSrfIjTVpXuCYZdKmo4KZa02zL6qaYfBrUf3/lzPmdNVxCD2CDFRZyl
HBhW7oj7gsSNNeqMsJSy45Ik+vW0wPjnBXjN2s8xhgtnISPOeKnQmy03gfUGZJ/8CgVB20CFqqfY
Q15c8RQpUX4wO3lPBMs496AzleIbd51RbKzTF8r+vODyqaxjChegfO1mMnVrdkpOPlJqCX1Iupka
BnJUNVfWMX05GNf5Fao/kSMPlXOeUUVDQKCgAaqcFU/HG2gLGrMwEBDokB3mFjxeK0CJHpXD9RGx
KzCVAo0d7iq0Nyg/Xv1h4dHh4jXmgk8Yyp0o/FMp259MpDqpoQ0udRJKlb2J2Idjmo4uvTFXeEnJ
FXuuNUr4+2Q+AdY9l4CtJzUNdcOdMSdJTypldUdlr+ZCudcZRBBa+Ck+8T7Dz8dz8Bf48O0ZVv6e
zvj6QLEmxQuWuRyvsrjcDpNecbgqFhH/wq/wOEZvimgNr7fN3eIUzaUhYMjQMQRcIzoJ3P+ChFu4
+m3zR1wvk2B9SEgp9VjcRbSQeIDkoJhOru0bcW6PwZ5kA2lWNiNuk+lg9vZ8Gj/44OFGl0AgY3L5
XG6H/5b2xhvqlHm0Jx4PdeGUrFlVsUA+syo01WfJ58qh0/yeroCGKjBNYNEG/8ZD5M3WhRFvWai1
hs0dzbq7cVDJf0yXB8sC4TP4RR47d8htriJA9qB79TWU8RKgOuQs2KABk1z7B8BAiX5thDfxnJas
XV5tl8Cd6OpatnTXswPFEyGlmHBjzvPhAahnASinMxuXpNviMIdQEfczMpWIB3fGcuQx8LvwSde5
CDCF8jNSJSSnQF+puBPuMFeBdT7GX61BBGp1HOYq+D0eg2SigAIBHAXZTbP6i7uW8uAPIvE4Wkf6
dcwPHuUEOyP3asnjk+i5RxkB9x63Yt4nd6zDuK4+g7SPq+KylyONDZZFWm27/sAk6y79Mw3SsMHg
0UYavbtDnKTqUXXIkxK2gNLxaLGhZY0Tb2Er0SdkYq6OdaxFDpHj1LuQU0RrW+USJBb/ebFsthOr
vw7dewJMrIXDCk9YPQFpE2UXlaZWPqHIGi0upNdS9GmNYwMHYiyVnFBzRe2VZ8xlDsGdtWe0N15y
uyuCC3+feEdcHkg7Y9g0gi0NzFvaXOvAwggGoiM7JE8gHBfcxNfh32DvXjjoWjMnzfqhTv5/RhjA
ttDtwFQyPojSkwunzXZEfOpl8sG6cWczdqFUg1G9VlFF9Fhwxdp12jYXbOFMVIBtFCfKdCfJNrMQ
TAGC0bLgMGB4tuMOyKNjoFaNYeg/i5sB+GRg2YF43WjOmkgVTsV1J8DEUdbaM6YoArKU/7MgW9QH
Ny41uR/uj+fKtAzo26lrfXLMDtZXfQ24JxInJmO8Z2BJ87gk7n8FBBmAi7aR7gQU8zdhueam4CNj
NMDyx7Ic+Ph1EgyUMrcIE5loU0OoCjyVKidZ2YbOhYyvkwUtmZLaph/mzWjVW4/dc4uCc4565Pgc
628sRusQfYNSzZ/X+YrqKEmq6SP9nhQfq/goR15KmrFRydrK8Z5akP6P4oT4qfAqgvH8W3am6urD
OtJovLCTUeWDiN54hBZKCxTOrphjBXK0HnIBuLSsA66jEbGtMKF/icgd2MuBd9FhBD1lzyyK+TAo
VyD99Z06G0gOy0TCEueEggrR1cgCj2Wwrh8V91DwhXYF/O4CU7rsj/yAR13XhwbtwcG2aJyDYXkK
XhhRUT6B7Eqo3Ms2K6BkD8GItd3pGvyHXWN+rfNaufIsKbSKNERpe9aQvyjUI9Ik4EjUOX3rArik
kssOVFAmBc6VW+u4zbO5Zx+WZYvdnxQfaU3w/Wh1WFgA2vmw01Qv7+w0dNieS3XPNOQuEKYkgRYI
1FmgjYM9DdbSRKSJb0VPXQgA3A1FFo/TJR5UClYaiEwz8cvxU/gGscI2pv7WyKKiCPucl07LmBLe
WG8oZVetDQZxnUkI8OGGvNKbtuIJPfuW4VkOSvhEZy+sD0N0mAv0md/QWFm7XpQSIifCEpgV2uzZ
q2RKTt160LAWsVlRPykjWLRpvKreMTF5FExZEP+UpIoY90xWoEatjyDLQKQW/YgHhxFaZ8x2mnij
eeCf2NrXmAOvlqvwxWszQoIZrbS7zi1UqAptOckLkdN+L6TPGT2zeb0LfrPEeZCXul1hhQAwEsUq
wNYGNvQorWzXdS+A/XynIsLHG63NyuOd6Thxbmccp9tSZjbS9J/XDWQ9szMqaT47CQDlBQMz7Mwp
BmlXliXg9KB9qdnosfIa9jJvBfk+Rn3omwlPDyRQrizdDr8w6AqLg0DpxA0BdmBVIPu21LaOfni3
h1uyWQYeGBiY/qBou3DcCbMrUjoP7QpiIo0YdFqGA+LOFHIYbqG4BkRcbCx/mxGLtbpk78wZlhRX
xk60oKfKFfxt52xG7Bw8ohBmcebz0Nh5ckArOhIxtJcAatntJ4AQNijOO0Hz+XWk98ibiZcREAKz
lm9L6cw21senxgRnTGyOKOiWsIEP41M5+yiW8ZIxJDhjtYgTOeqFDo5mUbZfmww8Vv4qDyHmgBk/
WRKHHZScZEIoUn1BmYd+5hrv8VaEIKnHFpItqMqvoglJSnV4YPaHI2pyPmuGelqmfD6DCaAlQyTG
3RvfbPIXaqMk6+Sr6/EN8oTyJ8gi9EBXmEHXgvrzQVpQTOZwbqgwIf684AAvSKZrTggdblvUaFC1
Z/PQLCzfwhqeulJ3E4O5vhaagm7RoOkJb88GW9dLu++bWgYlnBAh6ePTYmaQKIvO2Gtov4RKgqtL
CpITQ5jYq3QVW4FJ2SPwpOyt1fVCTABRFWruQ1j7SDpoFHk3y/sUgXGkNlJfHCMa3QKkllhvMK5u
UmTZ8TnYh30QIussY4RWjIq4HZA3YbJTOGt0aURnBPenWBdcaeGJoG71GPUx24ZBa0CsmFZ5OVVB
2OBeqyaJ1CrEYK6iC8ai/TR5+DkGHDKVwukcLbnXG05CXBOGJtoEgKY3Y2chXmRIt8nEShUvpP/5
80DXZzdIzfPfj5pUyQlyxNvfW+cYZuwmKjfFSgsq5Knb5y1CbmMdM2T9cIxlQJTp/36RwwUg5t/r
LjIAg8oVMjs1C7dRq3ofptH//6K0nqaVHCXjXBNuiM///YVET77NWe/x+ypoAq1fmmGGU/zf13/f
DUhoov6R+/OqURH/aVT8fZuJJYBGdIITVG2Wg1CD7BTSZsYRZ2pgPxmskRi8v90FeD/9Xa0pgAht
6rTDqm/99u+H//nD9a9BdvIv//1hlQb+0JCDdajebhvcelB74CL+viDQjFzh3+X8ffv3Q62qXy2R
TuKkwFYKcxGpMpWTDvH3//kyri//z8/+/vXvZzKu0kqix55iIL+OQ4pbDGEN1KXGCB3xNyMKBXaA
+qUR5RYpv8hATAR6QdiOtjho2lbWQZlbxz4xdeyhjdJrkZTESlJcAItp5lreTqgMFNM/RJIaMr/g
C+mNjIig3peB1TljrdEYWcC0JZTQEgMxg2oownOx2jMq6kLqtxLpopaaJ9J1hOQtzKbVmAm5LxR2
+1X3ZrxUHQfyIGoYpmcVmOaZlCjD/HRlE5pqinYtJhPWZH7l7a3RKAhqjVTcRVohaMYji5rj8G3W
Ce5gFY0QiiRqo19nWbqg51V6igrwtR6DTTcRnsxgDj2tQT0DjQudlID6XDm7SoSsb6xypJVD/9yC
q6yoWpkpLn9V3vsozYuxpNCEa2o7mHq6hia5Fgr0uzYbqUNVqmNB7nPyiZEOZ2je6Io2CBDZjXFM
Q0Tj57T+mXqBAxqpfiTAR7zcaaYnQkq3nkMI7qGxpasQYQFHVoi3BH1srNMR5WFQB9MeB+qjloiz
1QgiJJfIMFD0finFzgdPH+vIv5cJ+XNpGLEvLWCQSqrMJgVCfUQzDxeWj6Fk0Jp6VKm8vigWuUMx
EW2KiHtBVrSHHEbb9AE/EHEPYwDxr2wiJXqrZ4Qkoj4K0VYtVS8rUW6gAqRJqbabFKzrqozgMSpo
wPQUq/SAftRCbUeMcY/t9SSE0tQXp7yWb5g02DpUCN+khAjUCwatAfLIQpcDmb9mEAxPjMb3sueK
BSEFFCiYx76btCeRs8voMRef8NJTY8CeVZS+Gx3RqKh9WYmlHcOeAy7XIJpWcfgq6WSG4JgxUZVx
e42GCQ/CojhYygBRAjOvwdBKO5PW8F4qAycci+wEHWwsxwGVhkE5FXJ1XcYehBSNXigoy0EytLda
VoASDIJX9TE6OCOuSiYej2F4HYtzq+jWa7yWEDXHQrnukE8Iisdlh5OxhiRdVR40oTkZhjbuUqwT
9FCT3HGswaqweLe1YFx7Kebci/G9zkIzXicReU5sDFRzjJ+iWkZ0/eG2Jar6UyM5L4RIg3U68Ygw
FAVOVQZgBoyWUG4SD5GB4x3KT3ay4GlSGjhuS0n/jqcJXaClS91E4vyd1R8jNMbd2EDsg/bxpAyp
vFdQJg3LjOh/Dj41BUNEIR0xVA/Ror7nteEOqmQdm6o+wqfpDvBWkNqT/ilzC4GmonDGEUCvAUAS
fkCaJiWekAyI/cM8yqV6Ly7PnQ55tkWdbV8AjoDm55uDAYpNnkmSqmS169HbPQwp/EUD7Qdt4NzL
S90LpIyToGkfY1N8jHoGpa2XvEXJntaZDlPXEh1NyGRMzOYvM60wXoojx4ygvI1QVGqp9Sbib9Xa
CYq0G2MEwUQdqk1hgfVolhH9HM4Rqxtiewkge2MBi+6bVgMDMWoYsLVm+EJPvKXJaKjLobHPccCB
5RPMdtpHOIWHrS+JwuKPSjFf1SjaJZV2YIrkX1kgn0z8oeSunB6YInhGD81NH+msjS1lw6h5V9tp
p5qdcFhiYBrIJkIAmxZEIcz2MYvZ5Cuicqx5NJQcQX+HEX7OvfKrjeQ3MK6Q+rCIiiRpfpro744I
vKHVpS1nTVVeG0tqqXwssd8g0U1pkUIUEv3khJCw9ArVLqEZJr+UcJspI7rIKMigzm2XCjQdsdZv
M/zX/RyqoxcHCPTOclHsFwIZPStXjy/l2tfJPZCs2mUzTn05eehhKT51QXW0wkU5yPSz9DSW7908
0NQBitU2CIBgpDbN1g/SRKiZjfG/OcKhTVaiR2mHUE790vwQ4mU4WlV5Cuo589CAiGEPiJ/IqJHN
B/SzzKo5ihWeI6kU4cs1kOfRyZgz6SQJC9umOYyukBqRI+XVC7N0W9VChS5hR3o+oPwlWFrmxK1A
FzDUbioOKNmi6Q6U0t9kCo5JKyvAafNsu1SEneUYo4tItpultF1qlTaQmUr6oQ+Ge4dHpB/C0KHx
sJZI4A6HTRKf4rR2VSP/1xoS/AAJmx/EbcJgHFcDkBTxHPm1y8PRiVRt8sahQhzcGPxamzlqVVl3
tZH0yMCOMhezF2lQwGi081UwQppiCi7DOZ53VlkWEB/x25MnpABrtpZeHWR3FOX+iIfIBf2596ns
zk3eUiNIJwXJueGIQnHodXE0UIMesaOe23NibBm80hPkHHOgLjRsQ9ewfUxnIC4ClleBHPjyNGSk
FkKz7zQISa1OUaHu5OwO/ec8ztMRObAnIdFR119yWBAE9HWFMJUGWRLjLCooiVD8FBhIZonmEL+r
n4EI95nJ/lyoEqVyw/RjIvQdfhurf2J/RPf7WYKGHBYNXn6iWQDgtvF0SnbV0D6sVZ51QB0Uf0yS
rSU0v+OFaLM0e6AyOnWqRg59XaSkmRaG5uPfN1tuOpEcSgNQky4CaVp21ObMmjUjSr2nGiUo82Q4
wXqc0uIfxP1Nz1h8Vstb3QzmNoyR0S8G7l+H8bIsVnyao7Op5WAb+ndU7gCzzmQD8mFekkNXN9Ox
QQwc3PBPqOkE5mHTvUTC84hrpJ1abY1e4vATI+56s+gsiWXcIydgmqcwHL7D1gg8wVe0aoelAbpc
3UQZYCn9OiekT6X8EDUYI2lp+y11g9fIhBu1SRG8MZc3HBNXUw3yvnlmGX8Ybeuo4dI5mjTQbpYC
jqAlfZKm06zE0bGvaKGaieKOkkWD0CDJIQ1HPZGEdxWaRQkPzaHIeG9iyx/l/p0D51lHDBjTEhQl
MO1lnTronGnHCr/JSVo62OZrjUksb5MVl34CDm7OJm5ShuCrUaBXLJX2YKvAf9ZRd62PGi6IZ4RV
6xPCBJT1kSO3qBCY0YCtzFSdFQnhrNSi9TpBxEkjZF/GZAnYm9IvswySYxP0oIOS1NN1jZLrpKHw
MIr4FBt2JNvkSNpBmhCENWbpFSXQ89KP+knKmhdo65yTJujNBEK6LLPlTDPFvbmwLqnOo0QoAlST
rCDlE9HnFMfK1qUrFbMuy1Ga6fDnWcTiVKhtQgW8o1anV5qThe0+GYb6pQW26Fb011F3eNb1hvKF
WvHIMgK6QaRLX0sYES0NTodxhtR40pMOI9CI/5HmI9gp+6plod6LBGSPQM8afFM5M9rhTmpaeS00
bODAvMzNDK+tVPuYUfLB87g5jJCMKVpKH41an/NVM7Nflm67Lh49nZHBDBlcTVdXTC4hqZC7hT7N
LqKFGnxswgiBnSnDpGEsqYMEifpREvs6Si7+5g2akpM4IquJbOchRk/aYpFWcsg2pjDBV5OcbOwl
PxhybCtLtOR1tslihGmhmHBlg/aO65h5wjEU22W53JXxSkMA8FlImnSYguVJFAdpJyMOsSOfVsZl
jQqArqchpibqApwRQBgJ9V5Km/Tax1biRT3NdQwXml1ZGoiM6bNyFIMUAb5Bp2oWB9izT74+Qj8y
jZ6kDzWEfZYNEedVSk0KEUVVWhTCE89Ushnq9xy+mCjYbpcUme+klN7Ct8yAgp8Q1Nu6saTHFs1c
SHAFZ54sBk+zka58AdongZY9RJG6iK5K0qUyIcOqhDYYy+N4NLUmTHkFLQjVCF1ggIlXBQs2k115
gMf4W89GvLeWMqZygjWBXvmLgMZz3mWju5TSPmhAbltGW+wbymhFyM2KZnjuFB7uahBUiwuJoYbs
12iKwMhmsBlCgqFqWbRvgoAEniIPFjFL0vjNDBydLIKSUwzqv1u6/QL/pe2eBHkIT6aYnGV1FO6k
uwpn5/fStPVWbQ+DHlOxMek19sJzWRiom5EoGD1dTTHg+M46uuiF8UQyZBep8j2mkQ6uGd/DRM0L
2g7Is+fd2xBML5QdNNInk11Oa3el0dQQKKzqGPTKSEMi81OS+71RNewtdbRv6fQLjRh4aZ0OcCJ5
nFCaPWHJiw32fWsWKg6k5QrAyZCeYU/oXGQgQyUF9ok05r6Rd8pFHQd/oDwy4IJ2imYBaDveIE/M
T7bTRFmQJcbWijiNcFsXfmSYBQdTit+mmGNVjFiNzBYWNCHsakVWuI1Uui2w11ZiG511DDOrUDX5
hea9VEYF2c/mQxw1ZMHimCVaVXRyljcpFh9RQqtwGWjLmxbyv3JGqz+YcTIUivojihHdVqaQJiVY
87YC/h/VdD+iaCDtytOnKVZugjEOnmjNBn0PXKK+xhD49RxVQDUExLg7Bf+NJrpmy/yyLDMUMosC
cF/mT0XbPpao2AlZGN4y7bUdhu8psQDRRqSSFWUOZElxFJOp3cqtuG+nHHYICBLk/8ErmPvBTE9R
c1Qk8aNZkGTIFetgoDaAe5tugr0dnlsrH66pOP4qIzQSE9M8BBUsbdMaaXrD5+5NH1+qstR+FvVW
xOk1nxpkaYuFNlAyrU1nOkGtRbk1VU8TBxKatt2/obaGXWfRy0O3ZuCkXywPBSWkySQQjei3fAoL
nQUJae4Br2pbAMPnSOkrG9bg9gnmqZSJkkM1xN9xmf1URlhT1a0vjRT0xwIs5cCpaizmj9WKEi5S
Kv3Ibnn57E1pehJ7ARcJBgnditKrlQAcgIMWvnyRmmFnpDk5zdi5BTv4tpem4zDgCCeHCgF/dFpy
1OWswaB1US27CXWN7TTP0A56hCNi3c/lteayEhPHhiLG3FUUxPsaybmFYEquznB8aV3gcwR2Vn0r
LOtXyYXSTfr2q9B54nIcVN686Gclk6hIJ4bbCkRFBrldZUKlUQXYgH1RQ9EHMD6pKIFY8LZ46iwf
NbLbyQDrkWqUCoZIZsOGKiCkc/A0WNVPTJuy6/J/WoAYZK/DQcVaUGCn+X/sncly22iXpm+lo/b4
A/jwYVr0RpxJzZJlyxuEbNmY5xlX389hZv6ZUdFR3bWvRSJJyZZoDsA57xgG5odRICeyIhIglxwe
OYGMMzThlF37o7RwQVFMsHRNdWp1xelVs8qFY/x16Lpv87iuD7nzGBQ4jUmjzw9kfpRoFwlVMgwm
5g4sPeBnGHn31GctTZ9TN9z8T9DbNS7u/xH0primqv8q6O0OWIqat+SfQW9//qW/gt6Cf5mBQ4ya
clli/hH05vzLI+QhcOkw+zvizfyXy3rqmsrzbUXOJr+cn9/H//s/iHgzTa1Mjz9g+nbg6/9OxJtS
6j/nGgYkNJAv5zi+b3u2I4F2/wz0bC2XVsYmipmiCbzV0VNtlf0hE7iWapGeYIzcOThZSKkp964H
N7ZIejPTo7lk9Wm0Pq8RuNeDXxEOB1hDlLDZEg9r0uCaJfSaEa6DwCgnqMuvvvcmVa0B28st5Z7b
2C5+uZzzIrpW7wT9T8aA5LIimDctn0D+enobYoaJZoVIAi9EWMBbzm7U3JpI/sqWnbAMyDNaLCYU
f1hfxsXKDjVc8jBMDBiZG5xCw2Rs8wvmtooKn7hhUSNNvA24OrZqzh7w97iTd27oToXdOZfs3Jsh
yHGt8JfL8EdXu+6W4KLbNcBzRcmB22XBjYs/alslGSGxPiwjeXpwVwP5bsoJcciH9bibDZugnCiw
jzHwuBVikYE78Jtpr4yEWDMTSpzU+X0eQBCNFI5bKnyYo/jDSthUiD8v4cQQ46rXgI7kfbqglequ
ndwutjHOheRN+Yj6K02UZp4Wx7Uev9Qm/ac9FdxEHC37obrUdKMf0ij97abec9YwOPd4LJIRDVpv
eyQcRY9+vZx6K523pgtllDUMZE13sdQwHnxKKP01fohIzcEISl6OVEZdKM1g3F9wb02hS+WmikI6
ub1Hz8CgDf5LIUbWYbOFhEssMobHjEfsrTwfWZi9rqWYWqxpJLs6PRcVVtJh/UA6MzfTL1ajkNw8
8AsL7ei0UDcFBM/mUOUvzoRfhJTBDdOa1LGA2QYReUtZUM27lfnzhqChkGmwBf41JlKajPy8zk+k
smB2qnNOoES1B0XbnsPeOOnRvyva2jjx1Fy8psLp6di/aGVEARz2ZPFYvLyGYzwmlDwXDnFhC4EG
FIQRUZBzNWs7lz5rZB+UmaXHUHslLCJ1eWtULsS5LniVW+tpXS1vU6UqfvUNHC9UkmxUA+vR5DKA
9r3xYCqezAzho2OO7/PgLIwPrg/Nh3Dfcml3X7jiwfr7GhcapRvVYWxm4GBK7JL8iag5Uv9pEX1Y
Jxo2Y4OEnSrg0SvnbKYTSJdt0ks/94DBkIi23T67ESL3WF0nCOKX24ln3HGW59olbtfXn4CZuPy7
E92Ol0EjFF18rl5jdstcR+yZ/xqt5TvThLUNk0QjWQlh6AhwqCmNrnR3DOzSvGkIeTsp5GPKRrYX
g686cWYfCvBkf+LViw2gG3OM6S/FwW9QIW/Fw2VM6HxI8vq+IlAKuIDr+dJBrjMZ0UKwRkRgQF04
7t4FlN4Uo+YPlAS1NYqYxJ5w7NqDCm7gNQhRI+jGZX+Z2mhf58VmpOMSej84gZNnd8pKHtRcVzsI
9cSe7ilm6DuDOMS6LTYIKlRhRC8AccFdivPCNP13DxFJNzFwsAHekkBJ6gFv5IIAqkutnB8mEoRk
Zfl0O17j2wRgFG4CXbHvmMEpSr4kcmEe5BIdFd0T3Yjbnmt3FMUIJ+VybsqFPZdLfCgX+8J5XOTi
PzIFYBP/mspY0MmAsF5HBWaGip9RO5jGUvfGMl3s8EwX0I7LLioZOAwmj8jCO0gTFXFi2LsYTTpm
lJhZhV6zT3p9Q3JtGWMmGWgcGW1aGXLqZaVh3oRTCRdkgE3LzoJsapThSMuY1MvAlDM59UxQjoxS
dBdeVpmtZMiqZNzKmLu0DGAEiP5KmMgASNuTkiEtkWkNnGUTz+zQscJgZstQp5nu6MW0twvzXiyD
38IEuMgo6DEThjIcAoaPO5N50WZunGSAHJkkAYqQAclw6TNlKqbNTsZOtLotU2gq42jdgyt0SwQ+
Gy335Cwwtnoyv2I+s+j48z8nRtuKEbeTWTdm6G1k+k0ZgxvGYZBiQthGdIYVoYhU8X71egTq7SIe
F3/mBqXv2lk/2oSoJKulNKuz3OBQGyZp5QoJR5vkkB/m9HuRad1ibJ9kfk8Y5HOZ6CkkN3alTPlc
Wp5M/UImn0MV8xsr5bdetgIyVBnsZVPQsjPkLA+9bBEl60Qoe4UvG0bJqtHJzqFZPpL2dmIVSUu6
blhNZlaUVnaVIbTOFstLX0M95mGE1QTMFvqBZ6ln2UEzHBXsPjQAHSuWITpu7olLtQ/mH3uS+WZ3
T4PsT0T6FDdJMNS7Wbar4AfMEmUQ7FyRz/a1sIaZso8p2cwSVrRedjWQYGLu2d4S2eOiqvluyGZn
y44XyLZnyt6Xh5W9i935i8tKmMhu6LIkWrIt8v74XgFB7SAC33vX9zer7Ja9bJn9dd2s9p7sn7Vs
ouRKoaKU7XSRPTVgYbVlc3VYYR3ZZaky6nat7LdaNl2Kt5r7RLbfSfZg+rR3DouxLxtyJbtyVPKy
emgnhtLtqGT3QD5Qt7pZN6KdgKfyRoxbWe2QuMOwkctOHnVs51xrH4CyzqD22IdkgzdZ5Q3Z6WfZ
7mvZ8xMWfsIAAZ2H3N17lfk2mCPiY7JrF+SDFCTC9gpyUAEhxEAJbuvcG11NXIDCg1Nb9J25nM9r
AAgPIIIInsfpikx0F/OKVAhmgWXYFgwjAMyIbFCNFXjD7Le5oB2B4B6xICAdUEgmmIgWdCSKCJ2k
ioUUQ5CTUjCUWdAUT3CVVhCWHqhlEMyF02b0UAHDdMAxoeAyhiA0JlBNKZiNKejNCIzTAueEguu0
gvC0QD2JQD6C/aSCAjnAQY3gQosgRPTXrLSkgBo1gh95giRZgikZgEuzoEyr4E2eIE/E5aFtEjSK
RN7sNhOEqhCsKv5mWPY3HuWy6QK4rsQyorfOaYkICA6aKs7DMDJEtpAKNbGOu4xwWco0ZlJ4BOGj
0/pk5gQ7OVytt11RcAbz7VtdUB3vZwlXQfrpEB2hj64nlT1VtUKbL+ocF9C9sPbFSs8OC6ZLCB4C
PMtB2Qcpx0pynwaJuiBIzLeToz9bP6iObtdvV4eJZXBeeX/SbSWY4SLooQZGNARPLARZ5OLNOwOw
sRHU0Rf8MW2O9mjG8L9Ag8XQMMAY6leU2d2OBtzvuqe1YG477MgZXu9ohl8gRDCd9LKvSRDlmgPu
akTOzk6LbpfwfC6Ia4ZITp05jhb6HB/sWn+fBVlNgFjpvMAvDehaCvqK9gFiSBBZJdjs9W4jeO0o
yC21sVxBAHNTQXXpmTz1gvMOgvimQL+mYMCFl1BLL7hwJwhxLVgxIbgEMwIfN8DIveDJmSDLwLeA
qmDN9J0sDMfgzyZAdCqItOPEHS58hJRPbOZIM0oPtXy2EvzAmkI+ZHpxS+/RYsegQaJFK8hLXqSc
uUnFC3kTVm9jU7g0lCcPdrF+rQ3dcRE29MWClFHQ4V119CeFm0nwdg/gvRMEPhAsfgWUnwWdzwWn
dwWxz4HutWD4DCIPwRXVF3zfBei3Afx9Qf5d4QC65jaa4QQyyAEtLIELXcDO0X1dhUHIhEoQTqGF
XKhmm16J2MZcO1HTRSDa7UTz0a7LWvgcfjhYkPLV86yG9w7yQkFiLMJmmMJrDMJwVFAdqXAeM+RH
FMCCjNAhq/Aiar5rhScxIUxyOoQ2jnAoPmTKGn2PhVtB/5gK18Li8K0V9qUTHkZByHBq/JkIQ5ND
1bTC2TAvnWxhcVrhczTETnSOheWJo/EnXRT+nSUMUAgVlAonBI/+mQewRLPwRURZj1f+SJikJP7s
hFkahGNaQbBySCdFrZJwUNnwHggnxSpjCkflQVZVwloxu9LTKExWs34bhdlaoLgIjCt/YzSF+OI1
X/Ciw4UFkGK1sGOD8GRKGLNcuDMgd4J5eCs5J0+4tVxYtha6rRbejRfcvTGh4pRwcpOwc6FQDQD8
X6Ia5s5Be2jxIY2F01NC7q3BswfZVwrrlwr/10AEVsIIaqhBQzhCuub0B2XbVHRRfiI8ooJQdEeY
RWQJcIyQjbw4fJLZgdF3gIVCSNKL+NAKQ9kLVzkIa1kLf2kLk2lAaebCbbalyazM80LMV+7B4hAI
SXFRdci8jSPsaA1NOghfyrofHaAjbkPhUjthVRfoVYIl323o1ll411EY2ERh5yvoJ8irUgarDsmz
RpjKNZm4dZTYMWSuEla3hN4thOd1We5nYX5b4YBLKJdZWOFE+OFBmGJXKGPhjmNhkdE8TLjnfna+
n/M5LX6nEM6xMM8WFLQSLjoWVnoQfnqEqA6EsW6Fu44zrvGz7W0j5gIQTvjwnDD5jW2HjJZVdFej
Nahdw91VxHWgFntJBp5sEtWRIfiWSX40CABB6c1dk8abeWrfWi9KEMGQwz5rCuEtGJs7v8WNZKJz
bAJk3iW56LmHdEpjeO2Sr62LUXU1NHnbpnqJqem86UaP+FoPoN/zmHWw7SWegXCex8bLNv7qEutL
N0f6RHCa3UYXM0Tk1desMOQEEYAXb0klRk4ckC48qOxZL/qiNALDiQTRHRgEnFe4oBqcy+piZt3Z
WwbSPjKT5byyyO2nAXVT9wq+pPyiquTXqvhxhb2wHtt8+Of8B5Pvh1L4Pvuwv40m3ttlxafNLAIM
Vm2t7wlbsDgdHd3Fc29KhrfGG/g4ePwTyiisburG/EpK3xjX+AHHBeC/aR8M/zWZMmeXkuC8Wazh
sXSVOjeoWs+cpxDBXe+vIkG93roeJEVsKAdMBx1CduOpacm1CKhTPF8PjdRhVXK43uXkjeVcISgt
i5yCLTnE+aS5HLXxveu66UHpGMdcHjxSyxqerr+tk4dwPdR2051HD9HzXw/ClHgkJ1ekY3jhyvc4
XG/93+52UhWFVPDkyQM0Cwf6wPuoTMrerneuX57VPJM71/4y0fxtGUFYvZeVwUke7PWWPSYPOWP+
fphDG85RvotWhK6hJCKcmCetiAYkRnLLThFT0YmIoxLV49ntB8xzge2lBHaTH67BZ3oSyhbD7I8D
xOJVGlyJPvh6KwCf++MW6tP6+id6BgC8LW2YYPElgY9pFi0sKe1ElUQDqVDVtDWGMULQnE7E6Mvf
myFKu56XSYOKH9sx2lY0LZ7XKf7zMPdZkPPc/PXFkSsK7xKExuy6j3+rh6+3ghYx8d9fK5nWCX5N
N+4c0uYlKuLrITdGMuT95HV2BW6Dp49EFw36R6NbPOGdHNA7qbmtz38fLMoxzwzZ9bkJUJH5JqFi
U+WiLwwaBFJGVh8XLs/nfMibM6Qpb+8I64dujYZXCDkagxfSBblrZKa1DQacs/TdTee0cCcktXo5
WVi1pXiMwsWSUt7kdrar6TzK4fp1/1pQliUjHVL+6myqvpQJWOrMAqmTa3LKBQMj63fZWrxb6d1V
NQvLjwPpKpY1RIs7IXuhb6imwvLfh1zEy5m7zPtqLp+uX+f3p2dsHam5TqjjLbujkXAQEZpJIKiF
IHJZrPoQVd7ZdpBOpnU8bK76578PV2F0p6XS+vrFR1t+AvnNEnDED2zkAQxLjgT2er81lmFTouuh
a7N6rRzed6kO8O/NlPh6nCa9iZxzkzWpLE16y6K52sf9WzDVjOsBMTxEyX8fZ4Q+qNDBRVb3pyJ8
+MZL7dOUGXfkAp/8lupjI1yIxcswujoGwUpT1VBh4oTvvlc9Rdj1RnN0IL+sl8YOvi5FOUHB7o0k
jQ9VQzfpQnCDtpr+Lu41BWau+5kaLzpQzW4u0KC5jv+2kHxkpzrfD0zrkqMe7IuFgpkZuROf42IE
pUtVfp8b2tmjCzVxIpAuUbI0HFMdUqbin5EbpbvKzt8in2Qg3YOi5sW+H4KB/SIi2rPNX6rat7dR
0f9mpBtOA/4o/kVvSYbL0E05X5oH8rWdrXZ4C7oCl8MMwIaG4z6A239IK36sb+BaWaPqzp7xHxXN
hBqyLXFxIGU2CeiaB/uzt1HT9YGEnAe0DCjjXZu8L6rF9fhUkSYY4qwfJ9LS6KT5MPK3rvDWLfJi
XNM5C5dCVTdQIryvJu/UBalDQC620Sxv3TuvbE9ZOr4F5Xg3thVe94r1TPMvw6jdDI/dEG86w/7S
EExboaslsNv4WtnlqzFUK+mysmWW48Ey6KjTBLCtTrmr3seAvDrb8/b5uSjbr4mToyWntwM3kSJh
xHofULjcEMDukT4yq1M0veFXaF9Bsm5cNR2yYEX8m0+ydpLNEzkeSUvp3vG4vjWBRXOcNXwbHZ9x
jyxInqcPCJv8hzsO76VHOo3lxT/61SP0ejUIa5t4MYxowN47lT94wr8qdNZ+7u2DXtU3nl0dolF9
jsX4kkwRUTzVTRSFj2tIAuc8gHsGxI/1uFlyYImb2Z2TQ4upJysgzjX0BpNMFeyA3x/K6Rias4vT
KaQphnDnQ6CnFEdHS5LpHP2yMxeZDQM53IKga+PTitIJkyC29GZgszNrUpKq/HbRabO1u+ALGwKh
WjMrZs+MkHTfNf9NMxnBkTNXVE9ELEs2l5I4qR4XiDZQjs482j5syBJ/wQug4LCRywTgq5sOK1Nh
PbbPq+IfnvkTwR7B+2qTEuzWC4UYA6IhF0fRXJETYGf0U6hx2LR3fLR4dzn6PqUDm1JE510XSXEs
h+eqoPx4tuc30yoo0Bv776ExkEHsmDm7PW+zLhWrV8rgU6Hfjsv3iBeGPdyhEybW+7Q3gW3YGDtM
Z22J2p5S8xxvhpBQRfhK+jydGQ4RA5ZHQpLlxHd8uG6EysgJc0f7QG/gWHgn287rfZ4U3Y1HTfez
fqyLJN/aHjEDQFvEUij7bDZE51GheRvSxMp67jzUqkZBmxI7jPcGX6IRXZr0+6J94xzWTo1ijuBz
2huTOLeerND8hoLrO8B2eRNGlI1P9alG2HHh3Lorq/7AELeL297dGTOrXezWFokK8w2tPdSC9UQX
LKp9jSFWWE0+DYP/h7FNPNFsODdcvbadabt7Pzd+OpqQLm80f7cYI6d1tt6qZFr3SCoJBdDFqztN
mLQzpElzmA07j4arfRHOpCpiAeO6iAqlB0smQgXhR1zUD7OB1H0517H7Zcp69WgeO8m+5J0X1o1z
qiqkqDiFPsqu+lLO+Tbz8A5kDaYbXA3HRipQyswZt8lSHoeVEztV8pKc7e/siMtpMnEGR96+9/vl
VtnOPScsdZMmLDfKHvjdQJMsl/dx/uaM2B3dtnlTaxqeDTz9TRD14LPJ+oa9oML9okDWVufUKve+
WmwgWhIM7HY55laCRjR4Q02N18rX6mDFPUHUUXFYFqov8DiwdCF6yeudyK4jo1sPaYj1Ih/dVwbP
r2ZsG8BY8wH5x3Su4pYAYOyWJJffJUnb4VX+OoQUGjg9WVr8kbc4JK148c4mOq4tFaoWhZ3ey6St
3bqYB62IK0zhY1j4nJpVufpArE6irCGdVUgAvfEjqSbCL1vruZtJFerJsiiasMU2EU23ozk8dEVO
swExC7TPSNvqqMHF4C3JCKnC5JTK167fuB4QYpXE9pGxnkb5G7hmukd2OZ2vh6ZhOB046foF0mVn
KYkfc/X9RKoQlbrPRdFNh8ghBGA652M7UBWFZ+p6CE1MPtdbS9hTEBZbksceWmhNKRMjlrdWUCuD
MV6WUEcHH2LCJ3IFeT+lRWCS0HSaIOJGcmOg/CJdrWdPNOR5mN0VOReeIKgf4pnLeJBavrUpp5bw
7FyjmzLJLNEJ+TABoQXgRWqbV8yvXCRxxEnjMa29hLV3FXWmfL1Zc3WgN4Kl3n9qgO936wA9mWTP
U9i7e9MugjMGCAbrcYPqn9IZNYAUFngWAqisk+czCLldQ7hEjwizNCrJ2TPrHbL24mLjurus1lBc
dDSBiLBeRUtS067oEveJ4B37iws34yqc7Tpi7HTlcL11PdDNyUp1vVkOETXJhMKa2aVMAIbmjFiO
nA6PetCk2vl8tnPNALdYCT1aUfcZSfZ/L3UFjmT5X++y6qGKx4/eLhP4h7xkXpj8+Wp54zoddNre
NrPXbH2FAXZt02zrex7B1GFCSAnL3yaRX6XnEuycbMKVpyONpiezSAycSW5xTENnVyyMhX8f7JJR
sVMJUO715vU7C5F4oWJfyLIYiW9Pc+1YJvdlXL9n8p5cTLEDZkl7Z5STR4btv7/Wux3VNGvKB5XN
z117OurVCKEq/cLyx6634KMxqZRvU+radC9hb6QdmE9CdmOInkEHOCevB0tWhHXVeChjUpgCuwCb
kS3iWgB8vXU9OOmsbixa57bd1CUXhWMmLcGpk7QVV7haz7jE6OCIzknQguXZxOwpfCOgzTLW6z4k
ntBreY/JqH89IAIOxG9xf22F7hP/V7WAknJZP1FWltDShBeREa5MeO9UYqPzUEuztszABqLpgLAj
ZvHaWj3Unrex3AWjg9gJ/z4EvpkfLeSvcxnjMOR5LQh/IkZk5I1jpDGrjByCf9+ym4DgKo/3qIN4
HJHWcJ/Z4V9qkaFBeOvWx+0Sr7TZTshejr2Lv1h2xEK2xcCx2WcicNzrC4HFDvHJuqDm6FoPnTP0
NchHP0HiM5LXFRkhfls6l8a2Lj0UEABlMRuH1XFIrU6Jq+HzfqT6B+YtqqvxMCzknXSEVhd1+BwG
Qbm//p6pkM4IBJGc8rou1PvQnp56f4XO8QZm9ZBsAkf3PNhRH31Fve91ETIcbzdm1TeMQLhqr1KX
RLqBAizx175xucCfG/nu9a4u2/5gk6VybZceaSTfhjbawWnVnCht2QWDuCFBUQ9sIN0KMxRDPPkj
oLA9/HDV8nztjVayhXqOX9OjjveFiyD352gE82wTnouxGi5e3iRUTImEkrfsXEqJxfXmtTC97ez2
CHuA24MHFzffFjen3UXuVDng8MZW/Z3X8RJif0qhUaTfuiFlY20I2eCXVOaCA8Q9Xn8kThXeSteb
1wMtQ3/8bqiq5nw9qG7mgf59n56vDpfw+mQM2fc4sg/uFPuH7mpkVfLu4h1irWj5jWM4y8lFvtZq
V7L1NPIH+RdrD5MkJBPPQ2p031Bw+9t0JuZFvhnfIpC0/6jr7juJdcjsPz6b14c4Lg1da0sDTydr
eVv4P8KFDFeBR7qG+lRXoBS5R2HY5zgXI6YNPMEh9CH+vrDbWFLrfn2o18/L9e71gAWoPk9DTNhr
AOZ+feTzYjR721a3QUftvCbOlWI1YlilOB69/Ka2KXtmCRyn4TRiKz67Nh/5YoAPr6mC6JibUrfI
D3XWPhHQkDf1iz349jHIhnurtFgfohDrrmVtZ7CWmz5o78bEfGSCAIzkzKXyPidgjYSwpInQNLvA
141FKc1knFXFs6rq8WcNrkmmQvHs1+pb2rvvbu7fN7UVbNko9SGoS6J/KL/MUxrZ6pTwZ9Pszw4+
vs6r353Bhu/AqmzgE78pPFQ5GAEo3ii+RwGRxcOoil1ek1AQhzCuIIuj7RPUnOgvw3KxG+oAc9ZJ
5UzbRA336ZR/r7qc86y+Gyb0yh7FcsDx3fMIVjnmM5x1vDznoXnsmcf8CCcHU+HJawx6DHwz3OKY
uwOmf/RTfJ/ek+WF2C807SazS1dSzmSc1D1pKove2YrFmCGVQaWfTnVb/eQTud6EUjqGRpT8YrOb
2SEUHX4d8gfYgvKyNI6Lrr48LWUz/KhIjPVC/TMOW2IAFqF4KmbUsYi2/mS+Rdp4CAAudqmVZaKs
/20FzPVNPFLw19GEWRkETMnnD9B5OKYpQV9lax4mV/IzOIsErUrXzfVmNkfq1CwnZAic15beerDy
lZLDuAzOc+GZp//Rev7/aD0t7fv/pdbzhJzqo/z4p9Tzz7/zl9RT/8sLtO14KuBKqREc/Mf/+rPW
1/dRgZqe1qblO84f3/qr1tf6l+cEnmnifLW0qxF2/lvz6aERpYOXouDADxR8139H84lbSLqq/9Fl
Ta2vbfn8OK6rCi+S+k+az0F1cbLGs0Gd727VwyF3bQmlTIoHdkg4ycCEnBy8+y7F7+Omc3uD9Isz
lkX0jU7V1p71AR/bRORTAmbRw9khtDwUA4ESXfvRdwWaxEz9cD26RXVpPbWu0ucxSz4aL45x+8Yk
ZWIcuFQVRvK8AB1JWUkYDciQQou9W1HWoOLpulM/f+sHivJMOhPqwWYFmBiXfNVuMzYZTjiI2e2i
ug3yEsnzMt6OS5CREc4lMPfNO4eiZDJ0CKlsmvTHonr4DE1sbjdz4gwxatT98GzQRN8GnL68BCNM
iMRvMyxovW3b34RqWIhppnLS8b5XxhwjTCVZuW7zC97jG/4IfQvRdDAiIiuH0aJ1AfVIW53rVJef
juu8p0jOCFdAB7XWv0fyDqw9p8r8MlQ4g9F4w/bFWKXTwjugMgG1NpqWBV/zFM9E9IwIAiYypXPM
1LvQAR+q6uJkjh/xEPzKCN1tlHdb5MR7ltaDGbGeNKjJVj01b04DX1BnxyHvY7qq5v5ep8NtO4Cq
JEn8WLSaQLRK/4h03D/EGnjIy9zmWEXmi/FSxBbOm47V2y5qKCvhVND9YncN7gOW/adm+J32D4FS
0deJJrhtMQHEIqX5OWjPO0/usCFxBIl8kKz3mu6sYvWeWWbUZim0+9DkTxl9nN5opYgec/TrK40D
HZ15p6I3ng27tJDvZZ9uQ1LSuJKChbqaeExjig6JVzxXMHI3sWWtyA5halOqL7eWZz91PnGhNFpi
iajzn2EV5OfUQ4tXopOxpolSTc/ojolvfEmowgvK1n6KYzKpOWUjwFqiEt8OD7okAKl7q+bKPal8
ecZbam3B47tT6GEfVm59yxKwCzouEobNTDF3DuF5y3RZzCm6x0Yd7FjlB8oy3Jcpq+qvWCEWugR8
hottnVfMmiZT5xghRUQBg6YjJtWN9Xnrw8/dVMN0RFEH1lC9dGvNwDhH00l13d7IPYSjpuMeUQeo
jZWVzR4hnQlmg9zLGM5xAfhMue2963xnaJpfgX/IzENUt0aKqwfggD8YsJXKOHQYOqhQbh487Pyb
uaQ/ZyiIOVKed2tV2Z5aQIe6sHzaTuiJbxOz+0hWFz/CQlQ/2KIXDN9VisVzIcPLT4DIsr5+NvyI
aaF58qbUv89SdHJpmmc3zmim29H7lUVJepqKcRuuGMks7VGP0Uc/DIKbs25hRV+Ln3QV3wOWLAdE
cEfF6030ZcyZhm5H2wFQNIl7KMkWzWoqrSzidmwrdXEmarIVJoTJzuACSJrUuujKoeSZ1XxKNlNP
Kg+F5N/Spbmkg48YGDHj4K8/y9zX22Rw76K0JhhzrkndjPqnwRl+ZWYUQIr3kNbJQmenMVM2gpaj
Jyojp6D9ubkDbL7VPerVsRzo0LQjJKu3SnX3EaxwicawZ8TG40UeREFZlBeShldRbOzV4hRzgLEQ
yh3HPr0zbOpkbbempG8czhbAMhRvRThhYXqbYbq1eHecmOqPBBgTfx+55BqUzRPBE8tm9FGXDVDY
FITf6ZxTexKgDe8xL46W/Qy6++5QHQtxXFzA0XM1JPtiyL4aGr4WK8q4YcUnbzijHzsAoOhtOs0z
aADQW2a+vuQc4dIvYAbf4ml2dqVFq8GqRv+AUPEjatT9mCBhZTOiI732UDE5BqQ6tWZT8suqqumJ
xSve6NV/LUYj3Guj918AFm8i4ksArKPHcB2e5wTsMXIpX7VaFr6A87iF2pQ44hQfDubZwP8dgQ+d
KzV8qXux+Sa//H7uDy56bZDdZgfC5hxSPXxbC2Cs1f1GksJdZebPyEKee7P51P7Ax3Es+r03+bch
KmA+nANWh/nBMrs9XD7693rGz2Wg3/d9sO54OESrCT9C9EVt3rPO1w+D5X0pY2u9861uIcGRYC67
eS9NTXqCZdzaWWDss2r9mJu0PqxW/At173yber9RIFKzFpxKAw2S79qnpbZ2Jer3J8/OaZdYH+ww
XZ91yDlUZeFumAdwhCFdju1KEXrTJVQ+Tc5DGizOjeNBaZk5LT5rS8F1B8Yfof+eaV6JqGdXhmk+
uAhS7dnBGpwPGMUHo76JzbW5RZrzgQAjPWd19uaiWrkPaodmZ9zuTj3Xz8WMLSpDSaE1ZwNSTQjX
iJy7timfJhUTMdyh9ENAXGHCQAXRmfWvOijN2zZjWQbgCHHF0emDqOG8wJ74hUrvyD2iT45t+uAM
eExz+g9TuoT3rmMvGysMqottTj9WUFwzbYw32213gw5+jFj8d33jOwcvVSSvFEgkyqp8NBz3bEVc
b5Ng/czG4Ue6DJogY9aUpi+XCyclwEqb63gRX0rfeVnSYN4aoUmEKOklm2FFsrX0zauZMeLgzxp3
jk0psUWG2kxa01aV62tTS9tJnwPrcy00FgT/5F7QB2S9xnVANtnC6Qwxa3rXsjqkaEROc1tAS6bx
sqkzBC9rSoHkbP0WYvng13BfvXmMsNBvF0J14pXg2azgAt0cg9VajpkdoYGpXaYv2/QOKdagmyjO
KDXqfbKFSgJblm9dG9G6CJcFzZ/dOeTmFMxPl8UzHyM01RTGjPq+hwY8eaP6CBs2RNcbvLsIDeCN
7gwLgQyZh6buPy0InduG2Imtkxck6fEvSV+rJqg3VtV+zoTeIG+rvri6+d7XNkEsHZeRSNsuikrE
GH3+kvQt/RD62beIg6mN4iuuTL1nJyZ+FW4kHtkiZ3PmnF3PBqqT9UfSxdXGSsv7tnJQ+jpklFuJ
flO9pVBmU1iU78egfasfzdA4VH5BXB01t1urtjRAvy851fluiOilMqv1Zzyl1Aky6dGBMhDdiLml
9grO8DXoXp01h3ohDx65x7sx9B1DXMuJLYtIsstZjxeEbkECwNmHaOSJ610tGiwqo4Z3HE061Wkq
qQjR5xLBpu4k08aF25oHk6JGgxmkWtM3325oeSvuYiN4STJ8JXbSI8e1lp1ucCGt3aVI/fXcLwmx
4itxajNIboDdlBP9TPXuHFQT9AvYi2VFm9JI1R7tikG6NVOgRyVe3zbq1Id3cVXU95k2Mb6C8SxM
+TdOQWJhqt1kuYSx0xxmwyRsq3xR8Iv7uRTIz26J4vIWwIxAmRTL1yh3hbb+LAyrIrykJXpvCF8T
Hb8mIYbRZWxH8neyCPewBoPsK8pK/Cv2KwdHoOA9qWBgwf+HvfPYbV3dsvW7VPvygDk0qiMxKEu2
HNUhbC+bOWc+fX3ULmyfOji4qNu/wMbasmwlivzDnGOM7+87WWNL26R+VAYLWm6tUqKpEgZTHhsT
K8rnFYqIGBVNHYkqHEaIcMuvc4TvrtaJ52qpTDOLVLv7rX/347+7b+xlgxwP8hDvj03rtCb0VUdl
tDzfv3vE/e/8SqJAoY9dShqwgKf577/WkowS0+/PLWt4OzRTogZ/f/NPN39fItCVeVWZuJV+Hy0A
YqepW8hYj1lM/fW8/9tPKQWQ+rRyIBbbzG5TpQOR+/so/fUJ7k+VlFjAMkWw/nrh+33F0sz3jcQk
D5CKqkV0SdUWyuYO2DVqheLn/RfFcgbcbzUp6liy9aZ/+gWxXPPaWM6yVPWztdQuzWBp5pQKrYQi
4V0/c//Hj3M4s0nq3UUzy1D3r0IaSxlDVMWJvMryePbaLt3IS/29WxpLSUp8fRsi6GwMOSVsJ69C
N83SZ3n5QsOMM7RdirhWNmY7DI3ZX7f+5T5VNTcINjv0xaxb9nKl5Uhl4RVOKStArQQ9ttRb9OXa
kbWEjoFYs/sNsZvwGovzOgL4UgQ92aK8zu8/SJKB6pFd8E/3FWi4U6IGiV7I0LQvFZtg7gVwLckh
otC7+72/70fLnQoZeoyf7TqDZruAk3l9f5AV6o+hlMOb0FRkFkFQUfu+/0YxYPDKfb25v+Fy6TLc
b/3LjzJqIHdGfyzPh3vE4/IO0qYFVVnRy/kN6fsN8gtLsqjMkCRlvZmqXb1EE97zBu8//nUf5x35
0Csv2V4md95dwI5d4poTjchP1X0VrZWXUptvwsfaGdzkQL3u+Ip5chVsJ5eOsk02++Q0xmbo1rHm
Xubd6+B6BHGsUJdMDp2tKT5YyJTnrX/1+mSXHVJz7fnX2tEegFe7B31Fd9zu12i4vXnX2IQmOu/L
ix0YnMHMXZLafo3N9WGBiL7mhv1qCq5+nr64o7N5QZhSV40yR/FHgmSXXLmwvezw6l/blPIBdFS8
cjhGdtGWVfAD7w3sAy/u8dyc2z8kI8B8kXaIhWzC2gYMa3ZRo6a8ZjPCB44FniQ+3fAWVUc1P3NY
yJls5kuhfXF4JkhR87y1tLeUdTQJT+fcGmimEPCMlLFxWt/BoyYKbtMhJHCs6VzNF52siACw0VaU
6eQUJ17bP6Yt7k5W6sNlcPlKJBgohBvFhzTZECra/8AJpmZhwIFGwQ1PZ4DU7iWHzvR4G2B1qU/S
y4G7w6RAWCEfayYLA6G3hZ7K4QY/WqpbzlvgsiOiAyKrM0c9hwSlDnuU6FmBBw9b0Fq3jvgAuy/k
9mgOqQLJ+ka69b7DvVq5Lgdy/+0aj1ILqUohCmMXpa6R06i7v9h4kkgxQdxH6d5l/Ei6Na9eNI6g
29FWDwjJXympLZ5n5rUj0mkrAnrBcgOJ2OQgEAkweNKcMq/mudqa5jn1L8xYDv9TXwtH9hjv5Ad6
cxqpLKk9Y2Z+mSbgt8qZIPpyDYKbJIvHHOffuj+GKCWjFTTTFSwfVKqkPZqfItBOEo0JB/HCT/GC
YZQD1n9X4Tq/cXSy6cV/ZFRcWTK4oY/OQRvxhDohWU+fm+ZJdJ2RkfUA96vGF0cQwndZEMC9zdYK
UMf0M8+O8YBkInkhFbEmuiqpjuJjtwLGa2O8+vEBQNsa39e8PpXHEGDPKX9Oy4Ow/VG5cKrhHRU0
MDR5Y7hFttUYMUofWOTIGd2HhPz5rZMpis0SR0t3ys/4o/DOV8Uh/uAUQO/tisYWD6cdO90VIvcf
yvP1ixRvzdbLFEx/DidF/KKXD9YSXFo+SZkXVA9N/s7D23oVIK4YbPXcYDitbb51iT02YGeCE1O7
nM6cj3xl3fp13olfHr/s3qiV3KR406O2Y7OyThqHEymdN/mPRXuJqNtHqQSyfOa1MRWZFAV/+PpL
+CNcN9i7pQe1PHJyBaEd0s7kROObNa/5fAxf+HA8JRdEyBdrNI8t+DHIdHDdFaLSIaSDDyeAqF8t
KBeNrYrbDHtVIAntOsk/OGZWbffBmdxgSkSgKRzC4MhJieZdQYisutzZwVEp873Z7NL7UVroeeZz
VT5Z5RciuZD4cStzqnpb1Ft00waFrdrlKaP4INSfjc/sQ0vOvALey+RDz+K+TxtcvZ40TBup+1D8
C3JPwsC3WfWQTAC9xluVv9NoQSp/kcujeZ2lXUWgs8A3MqQFqMFXKaflEG979uIQ1nmKsPjzipi3
eMGFESCtq22uPWqBGA65JhPXRHG97ZQ1mPMvU1pNblJvu/li3cwz37Bcbziu/fojWpvndnWKwkfN
m764gnWEVEvJkA0RJtoNEn5jk1nnQXU+lAfFKwkMJwBzlRzmjNGTW3wdhtfvemcZuxlj3zmVeA1P
2nVfjKsjm6IlAYNRN//R+MHhrRzyF+pME9kua6KT+aSB9VGCGL8K3zWFuhuXSkMa6pfolg72n3qj
JqzJTwQyXfUzFIL70BR1nkLBIHOUHSch72TcTW9g9k4cA+puVDG8Gf+pZOuB458nF3FM8MTIGR34
4gCyc7SM7pm3oPLHmrHuHbLj3szRndx04sUZfRhKR661jnAvpkV/g3nSW2YOFXO1E63xTGZO/sJg
SZzHcqJS5Yux5/EZDM+MDvrZTJhJOeuFZ7X18h/hVjC5Cy79/kV6D95dl6BbONkW9jWPz+Lbu3oV
jt9kholfHLrO5l1Mks2VxOW4PH38SiWFYVeLtoTNcgXzW4bq+8srmSfgOz8Y5frDuDkcfeHZeCDJ
+s1cWTfjgemP79Ggd74KP4YvbnhYT+plFiHtGWkcmlvmYSZ2kS96mQlVm9EBgflzH/JNcW4o+aWU
OSOJywNu5s4PM98opxbvFa7lOjuwsed0wGHO16FwuFhK0gzjI6/Frw/OPKYLY0067a46MH+ZZ74l
64GrfmYmblwkHQfjIeP5mA+8V+PGNuxQ8sThAIDZZlDAinoWjsKztONL4r/X+GVcf3EQ9OvCHbE5
TNqRI85NPj8fi5OfKbSnmc6lui8d2rH5SnpgetHQTxYv6Yt85WssDkzP/tU4QpzDB8IYhX6IIYtj
ZRyZ/bQHrjJ4TIEdf4T5Xub7W8uBI6AVW/jzTGWwUsCDeIPFOcPJwp6URzJUUmd1GUWbt3cezBol
45S2sj1DZbDN5w2NTeZABsgXhkFpx5VHv+TAJ2MMeGNy144EmK6UG58miIjkXY4s3jenEVxeyri9
180hYkK98Q8Vz4lIczt44rTPtlPgELCKn5rLiO8FcI7qhh9oKRrmyS2SRpAgy8lKz4c3YHgc4ay2
FVidy6PG5STVR5fTLP3hbTH58xJsxWesAJvSvzRfXNa+gXt+nc9bpuwJwSm2RsbVYw/qassqSjjw
yAnKu3ldzlLVSSVP5kQ/KCIYX7JwTyOLBdUdLukPtXiT1V7waMD79qZ5vFI/CCm8ds9L5CNjanVD
W7/StOHCISgO0SXGxzng2VxnW2KPAiff+912qelz1rcgQGS+yRXCcQSiq6k7Co8GxcDNyCHWwJRa
zYHiR0+tJGwa/q7uXMRx+zSMNjPAh2zbGi5NLdrcZXOpEQLqTyXtg1QGACOtteOHeWWTvio1YPZo
hTkaMlq+9TCeAuP5MlVveeah0IpuC2VcpBqwDgSwAwKqIG2dtO0Ww8hhOfh4PZYlmhsN19cUU2nl
smwqHaZVs98TIywd9OzMEGVQlhi+xp00UcFYigAlctz4nel04GmGCIZHvBBJDiFwKR8P/rEsXrSj
bu3A6KU0RCTP9908P1mjo/bLaWAWxxLiGK/0HDQS4SKgyfDfX1iZi4MnF8eQ05UVsQraWsR1zeDP
ypXv5zE4akhm0GZl3yZ7/RemVuM5ZkfJCRw4CtcpSONzxZpmOcEOSPt48esX5+wSbLfiZyPbjJY9
XHB+Ne/9tEYb22pkGnip5iJX6bbiFvQNgznNctUdVWzHeAL2oXlq+fFhNE+SuE6GVW/ZuuJ4nscg
19aPwnMNaFF1ijfGK84AtKoaNe3R7axjxnKIJJTyqEa25SReQX4lowDDCpGXFMDkLU1BdhisVsa1
+MckbVx0BPFp6Pe8YXYcnFteSIo2+x2mV9ZuyCpW5hMRt9QdWaQzY9Dbl04pPmjOFNYpLITxd5A0
dRwnqA52dmi+xuYnQ6ovPNDdI26RbGBtJz9Jt8rmojQ8H2Jxyn5jT3iJydKYARnKBgHjPlX2VBwv
FRVpots3xqdVS2z4w/dKBt76sfgF2MpE1jWNd1r7kng8MGCL6kbZ41zvORTmNrtBfR4NnJd2XDth
twrbdbaOECMm5+hBcFhbOhon14aFLZEy/b6tETVGB5EFiXJs3lsu98xjImXV2j7qG1oWKTwKAE2r
8gSd6YtLrsAJz2Rl4HzmufFUAVhtaTOwkLOgUmypfI0gCak3TdTjwYpRHfpqf5imjL2VO0TNC0cG
E77cUPXa5IivKxBQ5a6z43Ck+Eizs3kQcc9lN5q71Y5OC92T0BUpILJ0yRAnYrfoyapzSO2tHRzd
xP+zKtwCgERIjxOvplF7MpWL+F4JyymEO4Bvs+/+mFa4ulSCh2Y8Q8THHZilxHXevQx0ujWESG/g
D2AwjMpRqPbcM7HzfimGlXaacnRltsrIj6h8fBs1MDrturHFDp7JN5mXq+m909Z4amLgA/yG7lFM
mABiUvZtD214Jr6DhjofhaT7Mt8ErJ512ygcXXQJxHt6tNaNG57uCxOZXRtoWOvEhWM8WpqXfQfP
04UJzyL1Ltqr4j6msku2RRJseuoCzLoZ/tIuP8QKyxAPru2fgCL9Y6faCEeZBkEaC52LG8d/8jds
uuEqdaFS2IWe7sTYgDTbDjR7HrTHhsKwasdwcBBF0vpcNdXNYPypbj1BAG3AzimEV80admXVa+3R
fyB5T/lD8mD24t9UgSED3yrovCuxilh0Hq0uWJWfOEgQzJeVN9CMvJI3qvQ2w5h08w/WY1tJ+KEQ
xCCmRj8zMCvyNav9NvJM+eCjir+OiGtWnArGimfiu05RhBkHrT3VNNrr/dQ/RNolGJ7m9E3tMXdO
Xhi+K7wBKroIp1aZWiGdQnRwkMAYntOvWbG7h/x9uFUpW3mbGZhRcg9rxI4Okw2Az9o1B2ZlOV/3
7ar+5P/hOT3Lz+2FRgwQG9BkFKP1/mz1sHzxwNrwV0fGi9gRjplsR61TUWlDePDBiNEMq1hcWJgk
MiFdWOKfIIFAkfKm3ZLaiN7ev83ueNAOIaObgwVTYiQkVZLlwYfpHYPN/ESuxcDeMsydgCPSbxGF
BvoN9QImeCcydmRdslZmv7eew49GMC8iBUK73Krr4ma5ksuYyWTuVC8B2SJH/ZkiiyNTGhaPqsYO
Yydz1r62wPFgMNBpp3BHH9VyySZAEk+1w5VYo0CuE1Z1Sgo0xX3A3SzorbOw30/ZljaG/oD/wQue
5W5TwR/1yL7XKMydGU3V9+Q47jUR5ipgR2UDcujRIhssPIQMZ7aEXXavnSWbijejQsKfkQST0+v8
wNKP5Cxf12/5FiZdDO+z8sSKCoC35CTuSk89dFuJquzl6p8IIzsYZ4GSwso4Fw5+WHRjV7JlBSdk
FSofsp+R7d25Ij/lKXIAQRBAPb/p78Gteya9RQx3sQ3LiyO+4R0DcJkPgJPTdiG8MK2+So9awI0p
ORXyviA0prnyRYOUZPRYASElRDlyaW0NwqYm9DVgseUVR6Tpy5iI35sx/1S2K4xMTvMWvzKKQjeu
ncDD8d0q2yhm/N4XKjoMnOUwpm9l9KRHNlex9FiplwnxmUHo7daUflh1mfWGNYJYk8+P45rNf4bx
tyb85Z2tE9MfKwSBvCnWZgWijxoSFy3h5f8F4GqBRZEdH0yH+HMnAG+4hWiYMGbuw3GVUlfhvQTb
TIfVA/4AtuK6OwxvBhIE1rTma3aIvEwzScaYvPoVjUIBuxg3jbgKnFLY08xiV0VLh1abiTBohY2g
e1BNezrKZBHQmEEvi4UYEli7zbuNjDLQ8DBx0hh8ZrnJDn16SyAeTQ5LfRwZ1mWWHij1i9t82bOj
JHEiXgQot+BSzRCOk/vBWSAjemUW8GjbTPENIGa6Jvv+FG6GP7T+2DUR5WLQN1kFz2nP3tNw2ldL
3yGxWEUvnQGKbqMeC/i9y+gdPANtZrxyx7fkJ3rtPsn9KCi/29KXRvXEtjboEn0QWtNWbA7JdAPM
ClpNQTHBOG4dBT5Otea6+CG4hjEOdQErjoNU2bTFaUDJzYFygEwZJXSqVbqlzYQ+iPIBCiBWCIzy
KDrgtcdv5RWMZuMNdDA25pZF/nWuds0aMtqSQe765UfxgNkMAJKe7Bec7Gxbp/AMalbKN+mryVw1
kEwKFGPl/4lzyUm2mdkdGkVTsCfZOdTgXfRO+iSVImXZvYQvveR18IfQRD8SKN+zfbaq9/KFkupX
Gz+w0hI8srNwTwT4w4ud1FAShgRWzNg27GRnYegDC9xvh5P0asIyXnmVx/YeYjMHtL+2r/o73oYV
LXG3wFfCrKSNmyC+JB3qNc1DKtB9cwTYBf5kJ7n41mD2tupBeRxZTzzjpZf7Y/Ihs+8NMHGsaGJL
LinvWFAdmgQF7eXX8rP8LL6so7ar2dlT1zgjF0AtoFTXlAu6A2G+Gh2WKt8x4eARq+0LwOj9orXf
EPNretp5LB8C6gu7Fnfvj39oP6Pn8rV0llXZ2X/KlU3QngN8KwoGeYKD/O+qgQaJrS1bMyWloNfl
ZzNqV994GslZ3gR7SgOGg3lRcFQGtxUrAAbgTeT1n+1qBjfMjkfZhDTd9uOm3YxoEdbLcdwwkgQP
LG+P1gnP1FPpFqfEeANXabqwiUkTXSHeuD5ap+BGvyo06Ku+i1dqbC8fNID0ZbR9CV9ZQpEViyli
bZCj+GxeQKiAXob4y7DfvxoniCLUxc8KI3mysih+rmIXr0UDgVR7Hf/IFH5vymPx7G87dMWv0W58
4kz8xl7bEypWxS9qsDMen1SBz/ZVraNnIGYn4M9zsxZOyQ5ABDMyp4J/SW1SGyqvh9O90NCRLK7O
SbjpMaOLb4Cb1/qOxRnVjUR+aAd/Q6hNaz0ZhXBoheASLA2gADoKleXl5qAsvaB6Yg0pGqjdh0Ih
vRJz1bD0faZOMBB49YsHlQ7Q/T6rivYlOh7v7jS5G6SQSFCQkWtKkvE8TOvf39xdU78/qgGsk1h8
asUcLuDSnft1Wd3/tL0bsSaS2FBbVowDS5vs9/GJXEs4V3fR356du3Hn7tm53+djAqBDZ2ofRIhS
Nmc7vLBj7n91/+dfHvnr+/n9k6L2CzdNmivhoYj/6tChUbsBPlHt7v8E1fIa95saDXvJud80jaSR
HAPQDITfcP/75/1iLbo/++99ViBgWPr9+f43WVpH4OMC91/u//3xr1thhpT9/ojf3yRqSG5Lw9T0
+wtTaXmR+88FDin8m6Vl3x/yTy//1xtbnFm40bmsmoAFJNd0Vlq9gzKK4tdSw43yiRAccEF1lW3j
vtpoGtlBdPZFT1aqI4l+lOFialez8iQlJKsow7UB2tqVbP8SRd0KJLbbi0Wv1rV12zK166H5GAXC
p5m0x0aVb5bReoR8fnWtSBlNAMHYKa+hgstFoWVhCbhhQ3VBsQkqkDuZEBXRAuMZxabXZ5JExbhX
3Z5weLFGVpD4hrVRNGSyYfKaDjHE3IZspalGgyc+lXetT9ITvaKOz4olLbnV8ZWogH3mszxbshP7
yY6ljRxbDiF5h6BKLnH2RoaMq1LlGNi84YXeCg1gxQKOejiktWvV2J/D6Bw2matKBmOXElzmD9FU
d0aHzRbLzU7N6ucyEj5EfX7ItcT1g8+hRxKv5OybGXAs+TzXS6pXQtKTUGhEqnW4UzqyDvWZoo4P
MAW56Ho08wtSM4LG6xLwYII6kh0A3VdmEQjIQYBYr1Qp6EA1Eo5hehp843tqCZNNSvkPSpKjGBhk
mCFhlbvZG5MvSdoFQ/qFSxCTbY5vsgkb9KvdT5ibn7SR830nKj2E2Dn0wihyS2GDlZpCn8Z2uiWI
zm/zVwMjp9RK8NMmkg9Irc7os8z+YYzkx6buLxO4nWioUUfhXEvoCNU5oqzWzVrYkANZcRnDvV+j
alTl587yevNJJ00OuJXsdNrsSbq5D6h5ttqNw/TZIPqTrPQsyfGnymorHS2SDqTAkdX1UFL1yDhm
yuL+i7vPJhB9mg0qqz3meKDbJGpSkTMOrUEkkVBrQCdnMh9bSeVuenVWpZAgMz4Q3KB+zQntIl97
BPD3lpU1dVCro5qqpOiM8m8yLDBrdcJ+aAp7VHFDJJXhjRllMK1jT6UufWoWlnEsTNuwiv8U2VqV
DZEwg+G5NJldpxbvc94347ZP4sOIHshutNFuhLpcgX0pT1Ejvs8EKRJtZgp2r7CfzOSXsZOKbZPN
N7gUDCmyhFamqW1kAIKNNvCdvT7dJ7L/UpSXUb1Qi9VvziRHktoXfzA/2kk/+3SlZ+Jt17M4Po9j
v+9JvK31CuXu4umQxONkBFcjxEom4fKpLMofyiA/ji91RkEntXoZg0bjlHILPxeTC34dMl41+aP6
EhXrp0qyfpsUHK6x6plkp72sSb47VDy5NU1MXr2/xzfar4RqBLip7STAS7NICqKm+ifEr3srbr+l
wZJtn81DWurPqMlrhJiob6eK5L5e+9Bz5At4U0uBjticWZUDDoCuxVT8waPiTL7SnROxMNfJjCm6
O0tVwvqjhgKjBv4PLrj4MHRvmsQwV5GFrKW67kgK3e1wkkzU6Bb5pNkPOQTr1hqYxfHC1n7DIiNn
Qd7/qM18Re0coWNgW+j7EZC3gkg1YspwKIp8WQPhEyh66VjT7EjNKnHKF8LASDrQ5lMpCC8h1yZH
V3uLdAuEu0BFJhK3ZjDRqwTT3XX45AfptQ+Rf8l1S/yUwI45CjXMCZNCeQh3ld8MW6XRj5op7UlP
a9jRiKcsTFmpDsGl+O5rkk9b+jwaDchsp4SzaFdqZKxDg5BA2V93OrwsTEfU2jR5WRLSccEXhjmY
wMmZ7qcmUPYkGTjY1ClJgsglL2Fa3bSyeSaC9MQxP821vKlY0I4kTq1iQXwNTIpeifXkEyua4agS
yvISqQBShZyJoTZmcUVI6486XpViVFeBomOOKMKLrCoJ0uCUijyJ0bElYdtEYboWNFJgZF0Ef5uQ
HdunX0Jhhoir2x9Vp7xVpeBj1eQzWRJOWyX8NOs53iINHvdYo3YT43dKvOiqTCA5MSZNRnttuuin
he5xkYDB1nOAWl21QPsssyCyh8LNzB7nVErmdtxUb8lYDmvifM7KRaESIpQoWLJvLZPl9R9dpV1Q
he9p+0lyJ5e6SEBXMYnwjsluRKi/k7MHwa9PAYaoE+rqRVVKQV0qJnY2fr3xB8zwfpu9CGH3qclK
Cd94aXUttTq1tvssTclxyQWm5+E50ueG1al1RvYpE7CGxY6+Z0ma2iA7Qop7dTQMTyxU2sCJQJAP
FfOypQhiou0lpOKC27i2keISu+IP5IBbE0GG5rYufPDAI6lO5K6+irXIil3MOWu7lkJInTyJs/xV
AEopGpJ4CP8KKNaSyOumKeISA6Mr5jBdIxmGSnrL7jOkIuZgCEdv5Kf9NlcJ9BmataLshO5gKD7t
JpE2Q+BbaE1G3LiJ5h8DSo5WhujTUKYvK6U6JTaUjLKMEm1PQT8xT1lX+HbYdxbvlj5Jno8TKx2J
QnuZP3ZNRcqmCjFXbygBmPJO9Jcw1Ggc7cgHiFJL5OmgE3SarvySEn3z/y1l/ztLGXEB/zd8wAK0
/p9+svsD/ttPZon/kDTDwGSmKgsk4L+9ZJb+D53gO4mgGskyZF3Tf/kByj80UZdMQ1VMa7GS/XrJ
VPEfim5YsEvxpak4J/X/Fy+ZhLHtf3rJREtRNIS+sqJa4AoUReH3Xx+PUR40//kf0v+ZiC7vcyMy
d5WSvDJZL8lpGmR78hGXhDvRRxkrT3Q0BYoVESrYsNSoTU/yB9DoyBEqUHZAIXFeALcrzVu4wO4U
O24SkrLJKWXh/IO4LdpMCx3PoJsDLE+FmtdN4POMBaSnQNQbSQ3al2J9iHpG+W549muRGkWe1KQy
pk+yKCoPk4GGpmHMK4d8FwURSYm5MOAN8rl2BvOqlpAw6xZDSoIcIqjNQ1BT76jBAWoLGJAsEWYL
X23xQiuOQATdupRAjeYJeOw01V9DKxbPhZzJ1JjBXcfBfNIMyY519q9+qSoPVa5/Gzqs0CbsvyOt
pX5ca4fIasctmY7PTPmBa6QNzV8fGbZaKMJeVadNN7TvQ6QIp6hjxEN6v9YGMPG5ND4TWoiNWD3K
apd9Kpa+L5poExTz9DD6ubiVunYLq6lisExm2y/kmJgYcwcWTSQvh85nrRlbc0E6pmjiGSXOA+T3
iPC0yiJ8q6eNp0xatK9LUp3MQZZxn03zvsZVrabbqQ1sNqfAJLWNtcAlSQalEwhu0gynT10AQDkt
KEpjgVJioT6pfUd0PrzKEW6lWkNzlAmfIL7DY8dG0c3X/lQL7LIhqZkMHACYwx2F2VORmwbwmEVy
aRdcZqcDzpTmx24BaTaFEy/0SkkzYy+NjD1Ab1mGfkiGiukY6D3ZAKg/isIK2B/afS7Uh3gUrAOr
Pld/IQ4s8GZrPKYjUok5DT8xz/V2LYs7dcGAtvBAVa2A/6VF4yYqvtHg0NwKmDIS2kqeGC/JT4BF
o5nFVU9KnJT72laWgTrCW6XUHqROrNRwHMLF6aU1CvRZbd330EwLcEyGypwoBv4fSY+GjbL4BZIF
fJosCFRszqQ3C8aDtuBRSdqi6b0gU029v+FwIuREbY9JMBfsiPB+kNW0JWt9S1CytZ/pAJKbZxaF
/1pMZ6CcwYMeEwJsoe/AM5FwgmEIV+l2mm+aoMz7qTbZOBMBmsnlA3moyrFn23SIpR+1HlO07Z3v
aDnb7lrwaXnmdMgNgn51CWc0V9xI+VncZ2rZbUurhhzfUvXEzrRWEwIfQiPTKYd/CWNTe1afvQcT
GV4Gump7KZns6IzIloHxQ/ahA5ZU8qPK56yb6MZkEGZbaWC5I5yHTMUlCDvXXPSjoUgpUrS7HjhS
qgLZlbJgZer6sMnJJdLZ+uFcxQCqmrTupQDIWYK6C5yAttHayh0NBHl6D9S3SwPc4GmAyCN5a1MC
WiEAByMo4OkW0UAFaUxFi816PTBwSRPBGXMlrmTaalrD9Fn5nDVxfoNpEm2GGH1CmNGokOXUEYvm
IZXnH9UXYWRm+yCiOA/P2Y408dvUoTEWAjRqH/OZP1WbMc6+eN8mrQxjWxYRPW5UvI6Zg9kzioL+
4rwuQEvaRdeEMCvfR6rsid8ITpPBSe5n0xnF8Dlj0CbtoKXbmtKKTFs8Y3VDcfOxBhaymv0usTV9
TE4CSYiYofI82splelaboaeaqn/1YTivUylGLKVXORJ9NvxT0slbsN6A11No7np8qRtMM1aalI6K
OTNfMryWwv6gQ0+I1bNuLUnACYIiLJviuvNJ9pqE0CVHl/1D9lbOdeIyUVXrLI7YQOA9UKv50MiI
S9JihvE1/dECECJjsljyg8DNcCPbk17f9JHzRx35lFWLwAkL6WsGOQQrcpLX87ZGRom/gHDfYjpY
wB3sLsq/itGCemckJyhKdKulVrDFnvY6KpEo5C0XPTlsOB7wZ2UybRRZK91O+J5ZZLvRGFarYhRR
xAzfAKPgzo4WxO1ICV6Yc92WHcBcW8g4W6mm1Tkd4jhkTMqzTxBpz4LokxCNhyXQWIMFMuIGgcCm
sUNPAP9aIpIqrSXoIORBh2kTXIn0fyQiW3PnUakdRdUSp+8q+glhTzcTi9cEaRqHCL0WoxHlM+rS
/mVSTH/XxZRGGtkYYafo6OVKYoP9Rs1OotFi6ZUJxlabhoBHAxtIoc4XP6lbh3TKg+Q3nD4a/Qtw
DtMlkTK8eBPZLBHNrBZKEeZkw9qZKq0D0IJEYJWAGmQLjT4pDBD7rEr2YAVt1LkEW9htqeRltmiZ
FGsbVGB5uJh5m7jd9dRv9Z4dH47Hyu51Op8l5p3IH5gTzLF0LSF9NieTUOK+AhaIossMmtAx2Dyv
mmns7U5EEa3LJCq34FXYqkiLz7RIT+AxGHyJ+Rz0+hh15SHTA3Wv1Ch2AromOkB1mwy7+DykOAcD
5TSX1rCTAeFhjb8HJlE5iTa9byBVF1rJGS3KIMzs1W4cMBSU9M1YteDOwT42ouZlRl7gkUX4EIkA
YPBN24lQVXujzTYUiocVoTjk/tVkyksd2oBUiNZWTn0Fc2C7JRDEJj6O/i6h3uvaZH8cymS8l6q8
qa/EDwmbUFHoXkfBk2+EREXDnPR08ELrIRyBxXe06SidpJouHTS/opQUx9qReHR4HaVblcJ4AAsO
dLLXtl1SaLCOsPfwLrNzE7EMsBLNFijZB6lwNaMw2IqtiUFB0PGMdXN6wPLrUV0I8Ifh/a3GCk3h
Ugi/mxmwUMXdtUX+YASlvCFjjwyXPq1RCgdkUPolXAQ/bGccQWW162rzj9xOFG7IXkzC6i/Twf2W
uhgRDLyDhjjmTtr013tqrtlhcaxgd3OWCbRsZV2GDAhnPVuQVHqp3OKE2mycU8ZUSgVHSpluCOLd
aGI37e7/zGknOXgrPpJsQByr9V/C7FPvv3tBRHKAHLJlUAksnYBMm7vNIqvRR5xgahigZo0smjpd
kuMsg+naNiZ9DIjHBJwmBvMA4XQRQcnsvwNhcrDIfLaswcHxIIS5v0lyi2ouR0AMxKqpu7HT2CT2
CQ3t5rnOdIqfjYgqp372k4VJvgTomJpZ7iT0aHFBMM39p6A0D7j6aFgSXYLEpKt291vyEi97v/X7
T6ay5CojKs/SUO/u/zR/35pkRdgiyap7P0I8hamksB4VX4Tn6vvJtmc8yQH50URM4nUeo5YtNLxu
LetXV1LLy/3tDkjPvBAdib5E5KR3YtjyjzLgl1r9/qwHoYHqQH8dl7wtdWlk9GWQ5ht/uezHiMi2
mr0Mc2vdbymD1l6z2IHUvua++81G5fAmgL9hJWOeEaVXqZfQ/i+mGwrdAgLH/2LvzLrUxrK0/Vdq
9b2qNRxNvbr7gikICDDGGId9o0WEHZpnHU2//nsOziynXdlZ3fdfrSoKCAcoQDpn73e/g7qb2S3R
nnPtre5fa6oEOJ4tkTl9v70/YYjyNDvwOQtz/Hw3AOb8ZBKkrIB/3FjK7OsuahJ6vnKI2YNEzkDH
RNGIhTGyMlvd3B82U/pNR8q9/vFUWiEMEb6kzlLWWvfPwr5/LPfPqjXtJxuHmY15wRtq3kV2I3bB
zDzbm5OCXcqM9vebVt1rvbdaFskiGkrS1XWYRCmpFN8dk0ccaT2KHaw/3X734+ZuiaxnbrnBzvRj
rlUa7ouRtsPliXMu5vqsQU3vxr73G693m7XutN+yu+3vPNTzAwb827t6iOw0krLUzV099P1eIVDv
AnsIAs6IXVHqofuNS3wcKTp4tVE4svYBOrCqwz5Kav5SB2uwoGnCh1HM4PIAtGffHUg1Uz+8m2Vb
ZFotu3o0Ye7OTLelUoURG0NBrlaP77ok9W73e8bkMZdt1OO+C69YzRHro76j+3dx/6L6FB9Jp3A/
tMRWAAwr17Ia3ZYbG87D/Zv55fxtB6wNKrxPGKP/fmK74ESUzY+mrBmG3k/k8e4ehpF6u20oCLz7
B8I+/ttHdf+UkM6THUI8VISfJMGu//gr7/eEsoD78RzLdrHxmugxJ8al6htiinXrK24/AMVjAbOv
M94bdMSuIOTcNhtqb4spuT6Lz63KDTV75LhdAlWz/KgVmEglHuEa5jxDq/O6byrbyIPSOmbD9NwQ
6LvOvBA6QZEx7Wp85CITrLofN6PiEbpGvG8h9fkik2tnBu6ElkL+27g0Y/vcRyCNUChrrT6S/XZq
HHo3LWKjFxIjNgOLAtN5FK04l135AT0wOyaTdjFjYY6sHKI+XHi/OIw9sUTFq+EaVz00cMTUgM+G
If6U69ckgiORedVz2BfPphs4OO5zCRh5cmyiIsPhYXyvwybDoHkzjLBK8LRgTIBO3+ktrCroPIlb
YmnHPEO6eNTqM8OmMJPbIZgofdz+kmDEuidA4tApF+Ywiz7WxuSimEjWukgxiEda+mjo7K+hjkOg
5xYPhoX3xjQSx+ldEivXmVLFe+9FAydYT3m+naQ3nG3pUX15/a4V4pA1r6P53pvPVcZUP4g0+K55
+hTZ4wsNCdi1ph01yczcFESe4QuyCjyAyTTPmRAGxN6EjcY31nxIQvtdkZ0mL/0KGD3DMCdNqcnC
WyspVjTc+pa6TJ88e/SWo9tv7aQ6e80jXhAPtUmag+E5JR9Xd0pd/LWiEcGqyLN1MOQHWWJlomLe
9fEauIztutA5TBQZXdNwSRjMRRk1RNTMK7eqPnpkQBsWSkWG0FhkpcgPuhKZuxpo31q7v7SO96Xn
Q5gjGAdy0DkRHftDk6U7L9fPddZBrJusddXMr6lJT90nPlzyoX0vAhcZPcRagsCRaGRQa0Zrhc73
4xQQFxD6xKnl9remsZqVtAjDNSMXhpA85VW/jkomTOO+I/GaC/6tjTtEMZ0frbCxSM3RfqoTvArs
krFXhBd+HbvrxIbuUOntOa80qEYMO8FFgf5eCGs5Y7NAAm3qHLIJjqWXFk8A51sLQ9sun/YpA60U
89dFL8ZXsvCOCFU/zo37ITX8z74jgyWj+uVcYimrK/flqoYzUUGW1ZlEpgMe1k3z0DjyuSzzM0dJ
wB6gc2gwzS1gpgQiyzajVZApzMwOpESRsejcCcJZaXwNIbz3TFA4pmt9a/QzeE3vuLDGoZALCNS2
gCOOK+kpHttnLBXRPATQqtv2uQlxZBtaSP/kxyxzD5/quQndRTemEMzjOn4ghexzU2BQFBglWwHS
oeGbW7buJvAYSkR1f9Ph6jW6JrFqZtzYzSwHjjQwUsq6kySDg/QcLEAUESGkVtaymFwd49J6BfaG
iOIxSMhX2KsRgd4wPeNTw4MVWI5Z2rCXbTutGJZsJ3KA0CN3xIEOev3g9dgzJcVbVtvxsneqZ6x4
UR32/ro0jG8dHEbcVfpjRYm1YHDWopLxs6WskNOEPcwpEcHLiM9TGk17mfdMqfoHC3M1iIqRv9VT
h3GPq+2SodaedDN8ilTIaDjoyQmJNST7xnpobbi1UZORHWP2oPGwLjOSzID436gsYLrLvl5yjbpm
aODNdmUW9p6+eH4yBEojP6eyduSbJX2EXjWARGPdRhvbt7nRP+Odj+En5HpJbusSC4zF6GF7IK2v
Imvc9ZwQ4eOFwwrvG4JRENhYHsI44uYDjFOY/JrQB0kmSHjtSmcs4gbFRwK8Tm0BGpunzK31Thg7
CtgruwakugAgcCqe8AKiVXOHp1LqZ/gEL45uoZGE/IIvkeYcu8x+R8ItgjyNAX6cIyrr+m2f9nD8
ImCBLrcY9XlveP3AFXcMe4mRl1wlbpwtcdRilFk9tyDWTyxrq3jk27TD5g3YY9o0Y7WyBEkKehB8
qFmDdoVfE05IfBuTkEWeN98iUBSEj29eMpUrrXjCobRbhyJ7j29Nukp7B4lPrj91jXwnatKqBQAC
C9kmv0u9u2fZe9/Y0vulNTIZRGW9M3L9MUm+prYzrYcZbx0Ht+qR2FBTCvzLW68FvdokraCUZUvj
Qmpx1sYQvXITuPilksv2WrjLg1Xp+Sejl5hnaKwyVLVoc/TBZBn0YupR7cWVjY0wEl90XVm6NPG5
Se386BQD9PPcYdIoB3fJOxmZe8porJedV2HUIgZr1Yt1Iw9lMC4NIb6QylhQZ8rhocztrT5/a4hl
XeSGv8FeGLIJdIClx6GVHYQ7/HNzpkoSX/3oc6nXmPtAzK7RufcDw7qZsJ3AJpYozGPy9sYQqXI8
Ir6z3hGqGS/6GpJZCsm31A28OEzn3CaQqAkRTPDk3lpWPTxpjvcS+fZBowtbOQKKZCEuRUoQd5Gk
LmApC1oo+1MAs0M21XaIg2Rp5uNxCntxsDirY2w+CQaZnoQ12GxfptxEO4KsmtWISVrMKrHUHEiU
RsbAfC5DDP3XedciPpFQ5Cq5EDZBHpz6mbGxsNW33eE1tdJLKQ8tfi8qXCxdZTLyyf0kOIZ4Qsxi
ZxA4x1wUCF4ZfMUEbD6MxqzvgMlQAepoz/AXQI7bOO9j0iOjfJKrTHxKwbcXd7vG+42La3adFgh9
iuqCzd2FMSMzdpWgAuIFOFThwbwGC44fEiRVEy7RVRa+5WNQ7YNB6A9uYPZoQ+5pwONWs7ID29wy
jaR/ZM5IEMNYfEj6l7jbB2ZtrztKIiiagb0MLOtjQxanW8EyIRDy5gcQP5lFNNsp6z/PxvhC3bQ2
wuyLjmBigDj2PkjKldVTtzTxeyvjeFp3+DpG4hGk8knLPQGvUBEnxM22J+iD2M/QKD/OOu0Vyc3f
sHU7lzU0wY4IOttKXipTvMwgHquq0zrWIlpNyVnnedrBJCoXKidmKqOE4M53wjKcQnUjR3PXaBKb
+CwSsAZJEYBSsAAyPVu4hyxhVa3t3Fp3BqnLDoYopCXUm3lWUNKQXxvDLNfSbQlzgO3sWDnJPLbc
TyMOhJEj3rlGhKGZlxCUkvuk8cUlopgMP8AUdg3dQLdwe6w8xiatnyLHX6R6Xq0AVNpNbN+Kvi9W
uv5aV10AGQNmcBWZG+kg46p0/zZUpJIkiFLyJagTXrk6zgeeAsylMT259RGn/GLtE2CSZySZQAjC
WUClnXT3oBPiNLvd/bGuclBMZSV8zVpcVJo7jpArs+b74x83scpWwaSiWmqFuxtV7kqkElhKlcUy
qVfQdN4gvvdsHucbyq9do96oIM6Fmci4oeDhHdRTP2566F2I9MiEuTtEJ/egmF5g5aLj+0OEjKey
ZCqVKuMpI+pR2U8X99CZQuXPJHHPvnIPpblbGkumDvAnueEAniAdFQ/353Xnc2KK6THOSbq5+xx7
Kv1mnmxiicOy2THyx4S3YzJyf+jicg7Tq4IIrKCNWIEckV7n1RYy4yKs8Y1j3IWKppiRfip4BGIi
Tbgy/v1xk3U6YWzmjDRJNfZ3x25ykc5Gl1GpxdnFHsxmY6tsoPtNXRXjbobomcQOtsMqSyhRXtOR
urnf+/FcqQ+nbkBP1bioMwoVTxQGEwQMB+7V98c/niwarCLsDB5eQu5RRjxekzrVFqNciZF1FbG7
BwyLGjshSbbBBvserl4XHsyFGidYO0sgvUmmW1rC7zkalvSVSmK63xPq4f2e+hcwobqt5aOFaFWG
UxedPItMJ7uTcHIslfSkq8ynxGkEoerEV939wyt1r0/qEF96ELvWM3ZBqtKv7AHvMrdJCR3muUQZ
It/vGZDRFrp0ADgL+c2wrHFd2Fiqeyq/SgQ97j/1y/3B/WmBaRwJL+0CmitaR3VDYstv9355SMHb
rtMK1df9+DTiCzllV0bLH6xL4rXuN/enp64LHsfyvWxnBBC0CURrZsnR+J7UpQ72fsQpRQLGNViL
V+oYhYrFctTN/eH9xqk79BrNOa3YifE5lDuXGED1qfzhINRDxyNMDrkox3H/CTaPmE5QMkcqoSzw
LoLAMl8ll0mVYWbD0yPSLFfZZrNKOYsjzBgSjORslYCmqyw0VBFWQzYa/CzYeSovTetBs4mCfzJM
3NJGQtXSMXuhBlpmKm1twoyf9PoYJnvxsew4S1QyW6Qy2maV1uao3LaZADfAUywQg4leQqW79TE5
b4ZKfLOIfiMh89yNhf2Q9rxcQzzcm07erJgfZhUcZ5IgB+jbqEC5JjY+liTMaRl/gdN7hM4lUL8n
uPNMSjlze3cXKgMyt8cxVEOFU6v4uv9PGvnfkEZM13HgWvz7f//n6/gf4bdydetuf/t2/83jLf/2
X/92xs7h298e2+xWfP0jeeS3X/yNPOIafzdMrm3HIn/J9EiV/QeBhB95eAPrPqwOx1PMkt+tiM2/
8xvwTRzPcITumPyoZbAT/de/CV5O2LqhHPl5+veDO313F25/efy3QuZ4AhUdVBDsA39mjgiP/1i6
UP7EHJfl4rr8R+ZI3YSS8E8ybVnJEKuE0ZeJTVy/TF5nPuhByWBRJzWW1hBiIQqmwSfzvSxI6vEN
YyMz94hMMsxPXt1fvHLex6b97IWABhZsk5bxgI1vRZre8iA9EJy8GfDr9RLUy9BES6iUMXQM9zgk
VHv2MD70UF99H8EeKVQepdl8jkfCuIwK8QCyzzlKVzN28jjvhNswJ8FL77tV55WosSwsfut0ZsQq
9aucDy55p/Q4CFHwCN6lVjYhwWjrBfEgi96w38i6hYTwpUzvSin9yvp+9AsGJPWM3UIHapcgkSsx
TAalTt6SacSnrnWPVYYAwRyNU5plWwxIv/bAVA1DQrIj6TecVmwJozgQ+LskWG5lQW6pG3npBO+d
tCvfzb8N03TGYHg9R+E3ZjOuBTgS2AjoUcC6sfaBPTiAPIs0JigR6PFpKv5sUfTvBx3hXpcdSqBI
WaD5ILFU1PqjNkynuHGPWqzvqUT2pa+f/EC/Rho9QjGdAjClAS+73Lg2WkvMbrOms3+InQy3xPjN
QHjja/EnTMfOsScvmCE/S2T7+a4N2rVbekeyux/yMT04aXIzbDgKA39mSpyI0Z8jPXg0w0c/7TYi
Rqpvpgc5zSeRTPvEGR6AwXeDH+8aKsJ+Tg6xh/DbiA8VY0rKQreXm04QIAu8YWYDKUkpfaF/HEws
6V3nuZ7ajatNJ312Dt30Sc+QsfoierPwOsaktNxj4UeZaiByENuhCJGMwT3QhA7h3TO2kncuWxiq
2Wig6axWRmc9p312C+2MmMy17xmnKrK3VYdsECqFYYY7vUkP6hs2guEqW3ORzukLQSNvdhi91d14
Vh9jpc3X2uOkFvPFqB+aVH+ddMlqnxEEP6IdQJ3gwast0scaqkNoDWeMjtnYymE/OxWySAb3rYVt
vAF6NDtbCamV9j017CM4FfnsfILVuDciQcg3HppR9uaFHTD8iA3MaKEXSvG/mK/qnJxpBXXyTAVh
N4E9vnqVefAYIKfjxcGpf6jEc2SlRDsaS6sCX66T2/09Jvzqxsk6tShsw0EDoanDN0bPdD0FSqUx
uzEE3DuiXQu+lYiZatoTHcH5102Y5QzoOuNnWyZvDXLoyYI4T72D1+QBVcTO4jrPp3gblCluXdOV
AIulYkaQu3yK5/SQDt2mTjhXteZDWq77ZHxo6v4MyH1ptPzQq+XAexmj+UoY3FlV3OF4NvlKGie7
tf1nf+p23TBfyXO4qm9Q6tNey9IDgR439cGo89EIh7Mboyws52tL/9hTMcLdWqg/CQL2CsSHmDqx
BckvYHvPp6HVTx0BdGW4MUdy5a2G12tWPn9P6oNReshCB/u5JTvTn+0tvNQXH2QRAISmTX6QbOXq
3E5TsE+OLSMPbTH03SU24F/P5kOSEH8dsxTICHWULVczaUsYPssNjNu3UYh1HD8PfbuGEHoxDSIy
OZl8KKN1bF4DqF5mfu34pKzefR6rmvNFn6+6eGwxvAyrdkMhi+iz2ZSWZJmeT24znoC3L7lur0hc
qPLxpMnp6ibDA+EbrDJlfPNC7VPvh++f2hGSVaO/Rk21jDFK6c0wpsVyjpY7vvp28LGwh4VvJ2/K
1NWUyhx82GvE63bTrgydo7EOK+0UDOWTVeK6ORibCQpCPae7zHOgb/UXuDqninn7qO7C/YHtZL2Q
qPZeL5Md7qXEhGSHvObYRy6PKeKU4JN2SKdovrRW807Kee9X3aVt582cgU8H454MoIP6Hx5iqODI
E+P0GoFf7dDY17Z8bYPxRAb7phHyUptcYthzYOUwrxvX3qrFiqhhVHsGwoguzHYGwwi1YIuxYcKf
vPPZ2bpkxporv3V1/dEMrjIfL1ZgRNCSx1czIv3XfwxH56guSbUm6L57pHPZqIuoNbnGDANAtQ+9
Zykr1JAFO40vnmtpb9kTI8CO7uwIrnkWqkXan6IuuXW8R0YJOfryEI3Uq4PlcKnlt8QfuD6iJ7Jx
1XtBjznerzgDTzcKR9Be8aVjjgH/LV/rWvSuR2cBRQhdajRZH2cT+BCGQLJjZGgtiC/bEkwYLHW7
++Ql9W3yQRTtxHhNQihRsP9BUoLqCZSIcdPgAMkW4ROwbbaOp0lfg0Fbqevs2O4+ZnDvtgmJdHlU
k2sl0+d8ZDpTptN+KvN9Z7RfLBoveJUeKakpw5egwO2afbbTloU9+gthYkKY6ZdRZdAaqmMjvUx+
v3d/bppRKg85AyDXAXbEnnVOHAv8j3n+/d79RhPNbw8F3dGSbqnIW6UYII1+Yjbou+GnXkDd6q3u
CUVesNN9uGOZluHgZkexBRpMi3K/GVRaVZ7ANw1m+5PhqdZZBrvAKzbE6uCwCx897OhjPb8ChaWF
lVlfbyY9vjJKix6nfFh70cwSIvVtjQe64WlrhJ4QxNJ1IbT1IIE8Dfj42rPXvjmNA6ExW08FLf7U
reBcuDhNuTzTmU9ahbk32VKMraTW7itcf7/fSBCGPQc3b2e3PbpRM0JI6rADQH8fTfEG9PRU4MO+
pv664uaR2bfZ9rc4oNvrOvJuTWF4eJr23i4u5BcAyCXet9Ha8H3czF2sKZyR3TgTV2d0O/IMBqJK
NSdluYGv2iFED4ncZmplvjI23EGWOnoCiXwE/zNtoHORpCMr9BUzl3nSsHhwCRSTPOc+hjXNRDJZ
gyKGQkfY3udMz7t3ekJo9wItHO5JLH+jSdDEhFZWweA47V7MZrqkojxmDj4jgYd3VnyLxVYbmr1w
0t0fivrf6uY/1snGP5fJvun6HjRu03GhC1PA/7FMjhNOw4QMga10U/RDj4ORXaCbXgJvZAJKWPi0
r6mjRrde/4t3Nv6pQPdNn+7BsoUuGAuqI/sDtdsXgyxI7IaoERqnyaoKjN4wLkdNxfpCoRMn7d1z
UPOdoyqV/sXb/8Ispz9Q3HLP5Qh0eJ/6L28/uO5oJZCstmZHEc9aU0TdRqurB18/p8Zwdqz4Ri5f
N+LfkZPhzqpGYRsl08O/OBAVh/JTXIo6EI++iqLNV///8+cQWgWszzYoturLt8f+bFOZZNrec/V3
U0VhkHVnF+DAA1qXRrMuMnkuJpSTBrtPRsHqi21ciHXlfvrrI1M92j8fGTNTHXmAbTD4//nIIKUP
c0KUlaJZKO0VzGfrvdYyQBgHOGSW7axFKl/up3fVUp9n0yuV2CVs8SdNbro/vlogiot7eejZ8yl8
MB3tU5XN146ty8JLy5koQ6jtnHx6cOvxQZUgjk9MbmJvIy4AVaXrHVdKNp7zKFGT3RPu7VvMVfDt
8qBw1sso6s+JbAAhngll2dRsfmAnD4XE+sFrzzD+t8QhLlMoSwaj+qjHkMppNmRtr2t4j2MeXrVw
ek1n/ZMz4hbAPNa1mpNnyHNQ5W+1L3n55NYAT7OHLU3hEuHGWbPIdJQ09xTIcsQ+Yegv0J6LxV9/
C392eghDR6jnGLptmr+cpybU4Lw0RYGla7sRJEJJQkfy7OVeWY9Xo2u+RzN97/P/bEmw/ux7F4al
unZEIbZKGPrpyhwMj96UKzN0pn2bJR8SKC6JdU3K4dyy8W08JvAT8TFQfAIAu/5Cu7urBSo36npF
AjTmD1GLJUp5mOGY+moqYjITctXJoFOQZv10sga4E575rjX3MbF4C6fAhUSydQzF08x6KCnF1OsO
XrUhacLuna2gAFVdQcaZ4Ef5zjDHvT+QCebO156uKrdxAk0Q/uVfnBZjAgZZ9PeESGaHIu7Jm3nx
IvgbRipXPulBq9FIV6ZbbeMJKjtsfvsxMWDmiQpH7UUemtVaNpnkLAoOgYfRB73+q9FJjC77i1kr
u7TwXZGO18ENLjFehz0tGBW49WxmVMfYmme2hVve9FBm8U0VrV01PCR2dsyn9lMjp9fepBwrkMPV
0Rl/TwThEMoeez7j0E4OzA8OkSeezdLeDv0OYvLTqCVvmlltzdCGrSo3U5XdjIy5u7nqrNNY4c0w
2duJVbvvvGenN06q3aNi2U844K7v43rVJ5XOFjkyy260I25hJI1W/R3aQP3mhEfQdqLo5Mo1+v3g
6a+BJ46uAUzw16e2/yfri3A93zV0zzURDf18njH4LWtBFs9WtW+qpRv52o2rG1Sf1J9cAEsX/2K1
/bNVH/ESmy0xob5tqp//YdNp0Aq5mSDo105pyFoa0/Jfb6l/csm6jmEKBFCG6ZveL28SR3XaZbqO
V4sHPj7YLSBONl+akWS60If11Czep3p9nmdqA3Dp0dD3bZS+qSq78ed9QspybOFugVUKSMvW18xj
StsDgPvsshC6BbFDZDG0JazPJHlBrEHd1KcHTwHRuEOqhZjAh6sMzWufsFQ3DRQSk+CJKT+0TKbI
XDhbfP/Q5W+mP+27jrQsJA+qL3Ot+Rr54phWYjtalORtcYCRMA8jbgT9RR2kTR1SO85xspxLCWgB
g7P3qo8VCIPnLxjznlIrOfiDvBiu/YwNxt5zkgNpSIdIOVi20161TZixE9LtoqNvMD+y93P4zsNY
HO51vDMbuiTQvcXYl58MCXMjwFxKjpReuhm/2WwX2kRPEqeHfkx3pumTzADxJ7O2CldQb6djLc98
1n4uHHnJETigFH9mPoAJUHf2Rwa/HEsQYIMCgifo1/765Db0PylwOMV84dEV6ULYvyCQhVl1Yznl
xdbI2D6LvF/CIsO8uKNvalzomFqq78uM6aYR8R1phK8PbfUYjdoHTIgwFJ37Y0Ob19MaSuEcpfB2
bXe1EUfUdOiqdev7U5uP50gLSVsxn2ov+eyjOa4KuE+JfkQC9wkm1y1RkmjX5CMdCvkooIYi1Xor
bLmQJmteDQTQc+VTjaqiQjbjWQZYy7Gq1nP/WsJy0fRWMedfXVb+nMXMtUr437wTci9N2BQf44MB
uAB6F2jj2ff6syHlCtOcTV5+UU2qmzI81MYHe+42FeBIa2F6YFPtgL841XitI/1EgzcOYmkBlqlq
LEj7VUgzRyr7sUAWZ8gdqq4z9J3XSY4PqgiyWwVZWM9+gkGaxf9wB5XlcHVs/mL4bgeMGt5XQHSd
95La2pnavVv99Rf9J6sYhZv6j2EhUjR++ZqHsIaPNPTFdvAYXEGZFJULrjkMD+okt7rxJBzUZuG/
OL9MW2kffykcPcpndmjDMGFo/7J81gJ2G8K8YttF9jXH+Eztc4xResiUg86XkeUHBGkMnelVEhKx
LLFtKHiqCeAFhNPkQrFa3C5nEz42kBVFdgqs2egwM6nFDOcFghk6QVQV1EseQKk7nhS6UaTec++3
m6FGYM2SMcQHqRH41TvIhfjT6Ycynyosn15hZh8j6JICcC+BRo8Y8ACXBgvjdJdw0iUEpYYFPLXc
xlBs3Sb5YfIlBu/DOaTooZ4o6/nVVJtRwbeZCJg0MzK49FBY9OMEGY3ZtM/RAMIsgXhhpTf1N1uz
fp0N+J2zfoDevGrTF83NDpOg7eN3UzzwIjjJcNOwCs12qtBxR33fcdqjcyI7dyXr7NhBvLWDZ/BA
rtjee1YIRdjrDEAjtltxrOb8TcEhXj++K6jMv5Y1Vhr5eDC6cmUMb02WbDqYjw6Sv8U0z6+5vrZw
gAIiWDrFUotR8Hdclaqsw3TzNuvMFIbpHdw5xngCtkhUG4sZE6SWdjdJM1KoBbY7+qHKQGIT9yjH
9CYn96hQawO8TqFNKCk2GgGkCoSj93pVf7RvUbGkBi6T8U53QdMSeVY7fMy1MfTExwbTST2uzGnP
sC8GLmpkfCiAk/vROURQ34cIqm+cknobwHFDwbZVq69C1tBOXETXvzOG9b2JneTFm4ZXZfUyA84Y
kvndTq26EpAcye7BZHRAYPZNxMnBKCTNZnQTgqPSbFZo0NccbuEUkOmQhnvbtp8V0pYX/AOu3kIn
7kCAwGdsH1SXVfQhqZ0nVTAZ2XQVmXhOQrTygbk20hmVGVsd1URf5DutT3aoaHeaj386Lmahi+9i
uFFYW9dlwIv1Oiy3VLe7qpr29xOeoYcqI2O24XHg82T1EqACoiiw+qQBq9yjj+wSDBHi0fCoNp9C
dHSQ9rFvMUkMX3UNXF+dcAp9TdhUq5Heoa1Ba0i+dkvghdbtrxkKAKKa2ElrFv+5f+gRzeUsxwon
nKvg21+vWoaFRvyflw8XopFuOywi+i9VfjZZSW0KO9+27vRatHyQM9Lo4CM4F4CHFCqoqT97Mn8C
xmRGM5ClUKwU9qxOrDbCvsPr6AE6H4i4HLJzltr3Zfv+Aq75UicUuE38VvrTa+IpG+UR8WX8wYfz
qTsMqJELNE/gQcO6fZ9qkJX0Ml6OMQNx0bPnkPolsMYmlG2U09aqKxIOJCRclyY9hO+u2xUls4f7
fhk/GwpFwm8F5xknbzaGWd+qBr4ckXv6wgXUaEqw0K4E29StalgcC5bapRPht26WDwMxdj4od9JN
V7+mRezfcCrEBpALXK0v0Ww9lqRnDhXub6zqjuj2a5PFSa05H0JNP+o1tLgmuukeVUg/XC19PBMq
t+2wq4C90JcqaMw5ZuTPBFa7Id9oVWODpJZAX2YHnzNSXX+t638wrA89c40swVuWV1NlUmiq1jje
pe80WJolMwF1VqSuOKoX8cH7G+BlhQxojBNg5exUpyHaHpcoZ2uX0yuRVGsJbp9PpB74xmbbVFRB
pTzrT3GNP44xDSSkYIxUYB9X4xTYyQvmIKc7OdP9vfT/95+6zO8D21cwsCYOo+6Xh/99KXP++5/q
d/7xb+4j3h+PDvFrU7blW/eX/+rhW6mG1u2v/+inV+bdfzs6Nev+6cH6Pvd+L7810/lbS17p74Nm
9S//tz/8bXp+mSqm57eveVxgTt418Wv30/jc9BwKiP957n789tLc2vQnwwbz+y/9bthg/92CjCnQ
k9mObgv1er+ZNhi6+Ltuu1zPrkccqaeid3+fult/x4TAxJgBmT6eDRY/+n3qrv9fJu0GcOHPKwm+
WrZOqjAEIN1ybA7t56Yqw7lAn4Kofyp6eNQwYOugORRKwBfECKru937c/N+fC5Usy/diN8USnlf9
H1+6EZGGXWMpG1xbrRznSfX+Ja3Kb7/ZCytZ9G4sJnywmyB7H2RDuc8Yw2HJwzjbw0WtG5pLNFxL
rzRxyx/cdW/x655hfM41IrId9K608LCIi+ZTvhMuzOwK2by4SakVa7ikox07WPpKuNBM4GerJ/TA
r9Qm91zJhEoiZ/vUrI8dFkV5W8sT+nhkhaVHRHFTTrug6A9Z0l+9onnMssY5+EmD8YWf2LtqcB9N
q9E2UYBZRFXqa6MB39enUDlcXWFi3IaB2ZkIcMOFSLWsJsdFowhGkpra59xBYpN3vqHI9vCNrK9G
5+A52C8K3mchLTPdiJFwZD3EyFHzymVawmoMPFe+08ug33QxBkLOjOJ+SoplYpBLyww7gamUpGi+
u6q4mkm4bdkhHoXWv0GHF6twKD6khGZhq05lF6RZvmEHRRdYIDHKriFf1Nr1duBz5qpUGpmxgHVt
bDGOrmzN3gAIHSlEKGJGCGHxmFH5fw2iwd/0nl8uREIk7WyHT6BZVz/M/WXpePW6by6F43ztQgzB
ha53hylGuzKU2amJ6uiBenfOi2HdWP6nPjE+QDW1N4L5Wevm7+fK+9yXjHqExpJYhAB/aGDRlzRU
9lrfPo6pRi1qPVp16i8s33rt4xqi98h5EBviS4LmZhUMxABkzlUHTWFiqTsLoTc0JS4028gtl2CK
K80N6QwNRGskU2co9hOBBCut/Hk51RTtIfLnYl3DD+0VUbRQlNEA7iiLd4BdGKZAkEoT+6YpkinT
hWqFo9ViUgRUT1FRBRckcBeNsISQ0CnCaqWoq4UisXqKzsoY6h3MUgddqty7ivKaw32V8YAt9uCV
a3gI16IEI5NmVW9k3w+bKtMeHVi0LWxaoWi1Jvxa6KMeIZLl0lTUW8tGtmqNDYzCJl86iqALuy1c
4h/EqNxhBKKb0TEPZ0InMm1rOAngmeiilVG7L1mTv0S1XOEi0C96eMEJ/GBdEYUj5MWKOOwoCrEm
bv+PvfNachzJtuyvzA+gDVq8UoAytMrMF1hKaMChxdff5R5ZFdVpfWfszutMmxUaYJAZQRJwuJ+z
99qVlBR7HZrt0cSDPzmnbll/ZCNhJlb/YI/IkTV0ybMUKBsolU0UyznKZR0F84qSmdCClkoQ9kvR
V199KXdG4Ah03nrxpRB6kJJoTYqjs/6iBd9w7D7J8RVhrg0EHbWjN1Y3QUNppJc6aym41qT0upIi
7D5Kf7l5SaGFvlgQZwfiyOt9inJbc7HqTgmxJtPeHqxnE4V3K6Xemk6dWhpL3zce4NPSfkulQDxD
KZ6hGM97UviyiFAgpwMeaAy+fnZpv0uhuZePh8nG02S4+mWVYvQ2xg6MWnnrZQBgWylZr4abDAV7
Xw7fM64uW1tDBgAWmY8a5DgL3Ts0PZv88b21pm9MeBHG9510WCKWX1DNE5rX7lKi6BDTOxayehSo
oAhQ2vNefqyxlN6jwZ+VGN9sjkNjb2OWwU0RsziM8X16pZXiaXtZwJNtYg9xP4L0m9jzv3mNPl1b
h/QObADYa6RRy3+sU7/AVIdZYMI14Ej7gGPd6dJOwAQKPnTuU96UZgNb2g5SaUCIaJfodPSkMcE1
s892QAVVWKj6tWXZ6GW3YbKHWcFmMlj6UdhJq4Ox/hQ4H1xpgehmzBAU+b4I3BHdgHdxnzWSWo6X
BLsFpf+kdO5tWohG620BlLICmAYU99J8YeHCMHBjNNKW4UuDRotTgwpOSpSvAaOf2iO4tzTdmdLa
IfB4VNA5pOUDKgUSWwtCj2fPaCwXEgXwFGAwwICX6KG5JqxvpY1kwU8iL61ZGkww5y/7PPth4jyJ
cKC0KyAfw8ULNdTaz2YaPzEg8Si2lWAwrjX6P1FPd9wMrm2MWzKTVpcEz0ugzC9k3kszTDv9SqU5
ppIuGTfBpB1N3Cr7Xwv54+cuT56zvhNHsBG72ojXsHf7X5m032j4cDD529cUZ06FQwdPGbBradpx
pX2HbMd5r+HoWaW1p8LjM0mzT0ePPsP9U0obEDpBPl3pDJKzUEuahZY5qW8S2/g2zeZjCwGjl8ai
RFqMaOugCwf+j/fIkCakStqRemlMynAo+TiV4OVoWHQxLzm4mJwVO9MijU0uDqeFFLyeyJvOF1zI
087KnXlf97O3j8qfQVp1u1zGNkjbFJ7YC+mumC/8+XOP5/kQ4bGK8FrZ0nQVe8MvIW1YpvRjSWPW
ikNrKSFVYdjiBoSyCmSStHLleLocae7ycXkJafeKpPGrp97KP3lopCUskeawVNrEUHBdc2kcG4fk
opOFjFsAU5kt7WW1eeDJ6cZtGlauPcooZhk1fkpwst62lCY1XdrVkGag7qjH20Fa2QSetgZvW2Cb
JLq44lOpbG/43wJ8cJ00xKFgA2AoTXIBbrlR2ubAwBBFj/BDbynM2tJcBzHY3xoaRJSOIBn62uPW
ZWDD+3NJpTkvlTY9J92TkxxsLZQgzCMh58wJqSgV6VoWw/G+g0/U+/NXhEMzWCGsgFRefsZnAkS9
I3icYFfjGQRFmR7mzhsuzBVcEj5swc0+CHgzFosqoKDbAp24gQ3y1KJbj2jnXzW9hF3l37FKhIWP
Y3EHYWnvuRrpa6VNbk9A/k9conKfYUH1JKN1fFmbMe8IlrLFTl8yXCFWwv3bSTK8z81PFDuIQa3a
33mp52CYEMumXAzEKw7tqrEB4W1bWnbovbK+6RNMxUbloTeguqbPmLxGq/zpLVYOsxUie3/Up/RH
xTfZrNAgbdQVJw8GQzgVASiiOVquk9daoe/EUMI0k8tIM/dLs5D/hG9pK2I0XFkOG4zfG1DAIs6w
a0K6EPBNpwqaNcL72pl1GrigPuyG+mrrGu1hzJLHCqDA1dGEGdY4ISHfDzdjhhN9KU4NueT7Jo44
Pavxh9flP9ZM/9a13lOUUEMX6BuoCwxfGpCue3zJwMwzGgkL9/c9Tp8XTaTZ0a2oibWR9Rysk9jV
9YJo3oB1Nv6w52Cv9QmO82GVlUs27ZIcuIdNezetL5U1fDdBZN0FXrovAwucitCey9IXD4jYU0BY
9Dxg9SNADOPAv2nqtIYnzI18jcW4I2dD5+uOYcl7Mz1MHQZ457UwKVMCBpZ1iw2QnKOKaqnjkRy+
TEm5bVfm9PGqjc9Evd/VbXubF0l8BFGKOb2gmEb2jomCOEwSEhX6qE9vsxoA1VoTuOpJr4KrUezX
cTSjn28GLFfMbCw3IRagEgGDciquehaP4Zg3P/Ugby5dZjUXtTeY052FRJpo9ZlpI7VUmjWgIaYE
Fn5cT2/aAhRsynG0OYNzm3hc2A6Bn0tGfNHEbXOT+UV1yPQRgvuS3c6YMqX/gmm7FwBhtJjKmTWI
LS2ObhZjgKk1Ciec8BRk9hIduVFc287rL5JFekRe+rBkY3SEjoQ3T8cm5NHizOeGqOnReyxGQUko
tUkfyxqKuqTbZIa9nanGwEWnCmdm3n4xmg3YPOsyyAxzJC03JQMJPN1rV6/6/UzwpWUsyXWw3M99
SoKFbkfw1Of6uelW/1KK5skJCM3WK3S05WOn++v9qq/pvlnLJvSrkgC/oK6o0bnY94EvhROgCyBu
2pNO6Pg2YmURVlhxcfEYb725H5m5Uc8tJ6S4VX1XTdc4Ao+5+kxOa+m6KeVmlVIttfnjMT8vvqcx
Mw4FxBD+yG0xHqK4hG2MvUc9qguP9AfGMyH9P660A+koZmFF/308lml6cmlcWURmAxAvpaajin9l
74wM6b9S8Iy6jIGVWqN5iRvra9pbA0UaicdQ9IwgKOWuBEO8H/fN11iQMe9K2g2McMwV9AUgy8F6
VyQL9QO1Sa1mp43xcBxskE8XBnKEiyjbvbnEwqXgFXBe/qKtQCj299iv3xIHoLwCrXxsJphd748t
mvbQ2A5gxC6CxxVX8T9AF+rf1BnYWYB473gM9ZDajKh38acn2u4D5QLnAuS9+j0fDwZ2eqxNfTmM
MrAZLyVKADoVC1I/dtsgJhvOuJawLai9qdpBb/61G0mUS5OnhC4m2p0iubDw0NZ9383uYaZ+kEvX
XDBEJR+Xhm/fGgn9MqSrrqp01htQqvtzHdE8Q2A37BKDj15tNImnca954yTmPl+ZMUZ6gEUuo9Lb
/BWTPJfWauxTDXHhHL8zYD5oMEJ3xhXJGOIHRvC9Ja1nrjSh1WJY6+OCjQpmq35UbJ5EGtjySrpn
1LHC9DA/WY+WBlFAOuD6xsEGJ/fsNh+ODgXGP1A9BT5PCtPz51E+FX5c35fJOZXGQnXyqb3UT3nf
41wtWyMr8q0622LmOviu5bt/h5EEIiF/y8r3qXzHitYyBM6MK7csDkkGDkVRmNRG8VOEJK5MxJdO
Op4+9dAKHRsjAUaGvHpxtJGcXUsibnyJSlGwG3VY2QLdjjX8oCnWh8ilH5pe5o1n8szM9Dr5a1ce
LzKEOg9KY6NywIHycy4o8I86Vht1iJgFBH9bBdV1KFmGA3nn7FqHK4u4iOghThyNJcM+icpPSeLW
kGHkO1BvSL0X2qY1BftGkWCWKqETb3rQYpCLiHNmElngDu65kSY7T/rr2hSsGe2GjKHEfHRstHeb
Ycn7c0atmnUAm5wLZdfWmbGp5LmuNlzTv/cWt+e9fByrH+vqQYryWAAW1sh/v87VkVTv1XE/mCWZ
RfJHH69eO6s8dfrPWaD/hD/Fefe+azcBKk2DuCz1YAYXe1O2KeP8xzPHDqgUnmpIOXKjnjjO3Iep
3pBCqHNKmNmwF45bHtWRjhDorPYCq0Ux3ENxks9qc0ptez3WUU6sAmO7VqW7rCZN3GI6+/4KR+79
cega1SFwGVUmn0Xq5uOft6xO2+U2dXj12aqPFUBud1aHajPJD/3j8I+nSC0p7SNGdGUIpcwEpKk2
InL64tY9ehQ8WWbb5V0tqWGz0UzUz2LOwXcbt0JEqd1mMW9SL3PDYL6vF2c8+TLSPVKDUyBPL6xJ
fJ+UcZsdenLSkOsHTX2bg/ym/rG7yoEO3NvRg1BwCNQgyS2cobIOaMHnEFZzSfmy3NGH066/cev7
7WdVf746TOUz1J7aJKL5vE6DtTclnUq5W+GTMvp/HEfToh/8QXZ6IR80cqP2KsbPeYRoR5m43ZkO
HUT1uNo4XQvWgBoUrtyFFd5C7U+OL1xASXtUu7OG4IiaNnnEcvAtpas4k3vqcI5pbpAHiIO5L74m
GHNOyk6sNhZ3fcYmaS+eDA1zyebPk1Cejm48/D4nHepvoTHZ9/84v9Vun1IKzSfX36pDNL35oTAQ
2n9cB+rMhr14i0gMSuLHya+e8/E7GoM2UYW/e6seA3jH9VTNzGBxVfz+A9VLOlfQhUTST6KjPpGY
3SXwbjIJMkvlRZ7IvT8O1Q9AvXj/3wn57mf8P3RkkFWaKHf++47MhSHya/fPJs7vl/zVj7H/RQSJ
5zm6T+8jMI1/9mPwOjq2STfT9unZSAnHX/0YnX4M//OY4eFRxPD4dz/Gcv8VBLpv+GCkXB+PpPE/
6s/ouuy//EMoAkQ7sHSPEoLr0BNy/1RaA6r0CzAM7sWIopOVFfp1sgf96vUT1nQ5p9BTl5q6IJZs
aMaLGhfsTt4E1GAxeH5iAO+gNuKmxHDI8U+NLmpvlGb6j0P41Nuxp4KnflhFX9LIFqdJnsiGZPOp
PUvutcNgnYi4+Xj442fqsQKgEA6Tv1/V1x1WbCu/tB5yum3iN1OYkmXtEJRIyuTnsayNkDbBGDXa
SY2QuQ400XIpQfvqylLDaGWOKbFhdbJf3UYcW+pdKEf15yqe56Nha7sp0ZJLYabz3nXdX2M/NAeE
kIl9bcuOEHN6S2vp6Ge16SKU2YtfvAF8Ic3EmmkV6XzeJ0HoqxxfAeSEWu9rB2Nuf3ME+H2gF//9
EOXml7WjJNGt851XxNnGYdG4KZhFqjHQYJpEzkp3UDwBtSkc+DwV6OKNTXBOEXkYWpCjbTM5/VIb
bYVKsFG7DMniWPCeWU2AyxyJAPn4M9Tfsso/SO2pDX9HH3b6RFI2mIPGBOL4sVGP9TV4RQCnxypr
WDfiL3Uk3zKD58bQDj9x6zpFskfgST/A95lBKp6A2ujQcpGHjMcZrieZ5oKQtL7QwnVMnuYgnc81
TbTzqoep0bJ8SgHwUbZidQ6FMEpbsucEhZsVDPq8IprFgJUffGCWioWQllYIPbI+znexNgZMvgm2
sYxs3FeD5TGNgC2tdyMhpfp6Tll9GmXqbao1gMiNfQhvPYGwlTTeTAZ4ZtEY34Lav2ZyOhipO7bc
mEOpH3V/3KqH0rr2Q39IbjK16lAdS7VRHUi1p+74RvEIifHNWyCUulxV6ZpQe22I2zlZmB+CIfST
KD1WaByOAfOlIKopVLsFwZ9yQTgJGl705KydQnMkPnm6vRn8Chpy2TNUO1tCP0AQvD9bqJWjeqbd
/Zy7z5TVSLexjmNmR3y6w4MN8gvdgUcfcTS/UxlamBC0kJ/RIpD83k/nxjWmM9PhZcfKlSQckYld
GbVIVeTH4S4sDbZqIqA+Bic3RKgL8fjHe1cd2xgUyqGPWo22B82iXt7hQItWpHaxUdcmFgg6lGoX
RCrS8gr3I+VLCUe0U+1HOzZJqKFI6dZoY/ZASaYuQFSWUP7rmhm+DNkf+zUC5V1oLOkTRDQbd0jA
xA7i2Z0zAuRHTF1eO74UmruE+RAkYVI1hzxPycScseNEKGL6ST8j6oYoWRw6nXwlJu/ivMp5vKtW
JWZMio+caMqT3CQMm/gTv6J8HC3ou6KBcm6aYa9sRmc6ekA+W0lHtW2T6OKKkQLYOM2xcjbg+cXY
T/7CqJhtUITaHH+LF07QegxIMeldUMGpf8zHFOgMGWGyBUmYDRIwg8/vTD/4N85E7anHfGZJ+9zN
vqurn3psy7oDVbJkHEGRd414k4gRnBRiac4JqR+28JboBhm1vlyHv/9JOYWDBiP6x7TMowa3sTWm
eUjDKB/9Rq/AWyTvd8PEk05FJbr66DUOaqmKr1OdC++7tiT7Du54VNNdIyf9tUqtfW5FLHUCUqti
E9reynQPzra9651VbMihmUFujLcJjcfQlNDdPMbxbPn3gSFMYD7yk80pMdnmZUpl1pQTv7jmw1oS
wolHj/ElQXFUtDCr/h56ocxfZtvN3sdlP0GFG8Ew3nhtWh11Q2gH3C8PGhTqKSFX0xbiJq2JUhXp
YG9x5eVbpgTL1mrxAFOLinctFqmdk7VXoJSkPkTpcIZpOpzVnkVJktJgfyyHgOKrXL4Ycv2TyBWP
OozM4Uej1wPx3UJsF/mreoTkZ8ezfi65ZezrtCwuE5mUF7IVaSSeHTmnnTO5/le7auPJB9/3zC4D
rM6w2ca1wySzD6RhDp6pDfIjhup3skzS1Fe9KC8s7srLQANgX2s4WMoeTZZbESVULczU52bITlFJ
XRm/NquSCPsFEfWyjH7WdUbYmLMotGl1Vt2wYykOMYbQJqDEx3YtzEMpV7JWhpvKo4WFYJ57gXoM
dri5CwodpObEOA/AbTlggjl5lU4uFI0JY9tzxR+iQAClRPsgbf3jrM/HaZrX86CRKrnQyRkjO2Ly
vJBXbjnx3s+NE0YrAs7smB6KNl5gcI6XgED1Zt7nhFsZs4hCl8aEvlXfT9nqv78pdZgwETpY3gze
Z1v2NDa7eKDDLUdi+7ZPx/hIT1M2w3qrONNGoeY+ndWm8kUW4mV7HWTqYiqnPYWcwKhNJfd8UWYn
B6OjF8nS1vsPAiLVKnD1xc92nu5KT0xX00gZv/qY1opJRlxrPGK/MSkGj1/NBBHJQMgfxIY32itf
l47JmzW1xElqg4UcRIeAC5B18Z5KERgosy191y2oHSOxj+bptXDIco7cgWXi9LbkRUdTVaUijATr
EQVAtAWFAcaXxCIq2GneytF9zqOZeprWrQeZv+EUYt/RN5u4GHGOpjdoZ4uDKTskIBMPBZGNFKaD
19JIrxjGl6NrWaFYrF9wqm/rBWDlgEJzHgnGI4RifaVsh9DbHkNrBVTvtc2rO6YOMVCvXj+XtzBE
S2vRCDAugLBniUVUlHfb5fpVp5sVoj/74tWo3leCBC3mT3tcqITmVuUx81Ys2zOZUMwYj0UDr7fw
0JHWc7FDeybvA19F3cVbTTTOqa/NfNs3e4OSd2/eN4n7UsLi5Dd7SSnuopR+q9PLu0/ArWUd3U0V
4SD1bdIgmK4Oe3rw3Q71N+s8u3xOzSDfiXQiQHudjdeOe5I/6r9g2a14VbXvPYqqcCyaHQhUdxOt
7kJwArO/2f1hjPx/GvTPBnC6Dail+BALMJjVSObLSp0gwAK2L6mD13V/iHHWN74RX2ZBLZ5owSJ2
wTfqxNV31qdlmYwH6tQkVpmbYfYFWPsihmz2pXHqhJQ4CK5LOjGmdTUhEN6dSVDiyWa5f8VA/NWv
nbPd07PyPPRLdZkWO+seGm/2mKc00iGUEGJQeifLXwhfceCqzDRTqFxuZMUfQSY5bUwcQs0he49Y
lxezaTpyutZi21U0ens/I42vCCt7NKnAu1ZYzPYuWb30kCYVUhwaiGnGLQ/nbuUhhsLgXmDG1jFJ
aOMXf+jtMEj018mRJGj3cQJZebRr/3O+lJRpHRtzJ7mW3Y1Lt31L1BmCo7mebgbCJCrg9oDuDMou
fh8aa/C58KcbLeAvHZ+H+CF3YZi7PVlD+giVMmkpRC3Ji01fv8D0eFwRF27StL7vLRBYdQ5e1Z54
+oz6c+ek3ReP/6ZM9Nul3TtCKsIy7wX2MyKCNbv2DmZ/qxNw7sjasSZrpbQ9PixxQuiCtJC3poOi
LPjRxS0DoQ082q69/OCOkX7Q9Nnd1dNxjty7MasDrmJAK0VpE2kJmbj3wKyKYQbDGeTbyHAOxVKj
f428ZZcAVI6nepMRRzGV4xPAxx+aJg7C4I3rnQ/tMNvHQf0Wz9W3OBn4sydkXvAmUdDzxVDZTL7V
aObBMw2fESYW39CSfR3JBZ9YLoe4Jz+1AZolXMdABCvA0bHj7QCZJVJ7Z2BA2QTlXKIQkuq8RRa0
xjnLQpvbBkssR0RRqJ7wsVFP+jis1CtVUIB68I8f/18+VqYt0jeRSh1jDyLiPb/XkndcY5ZQ//do
X7nUSeXm43BSGb/q2GXOGOI6pgVQtWfYPdQ15V7v6uIU6xCwAP5qJWsG9bDalPJZH0/9eEztuW7H
7O2//fHHP5PVFPLV4fKUj6glP/4hXXPi05LoG/XQxxPV4fsvULtqM+aRnC4icmd1/PcbqJk5H6Ki
P6EjCZClN28f5akh6ii0t+R+Fmq1rSpVavPxnI/H6kWu7j+O/3iON0bppoL9Tohf/Y+n/fHvEbjA
DPOP1/5RNqsG/Ebb92f+x79sCJAj5X41/36S+uewEvdhPmUPwm5pp9WTd29AxsUhRdtFVQI/NqrM
pw6bZWk2U0T0COlKzLVGVST8+Pn78X/+mS3nbupfUc/PW3rROMhYy9qkcaKzy1HObdJRJ81PLYUL
KKjTndpdbY9Fxdxo21l24hzZL1F7H5tUtqc+DnXihAoG0+PHQ2qv0gi5dbt5IiXq316gXv+fHuOK
SfEc/v3sj+foQfAgCLEOdc0yzkk5smmrnxpu7/0gNP/d3Plbtv3buvyHivyPw/83ReWWa/xvS5i3
AB6T/7XFok588L9Ly99f+ruU6Tn/wqbo4vR3HeyArgz9+y0t9+1/kf8Mr40l4F/68d+lTOqV2GkN
S1rQLJOX8arf0nLL+hdSc8MPTCtwFNftf1LKtAxTmun+Ucq0A8M2LYTmDrQ5A6qb9MT9w7/roTzA
6dZlx5S668GdxYvjL9EBdTHiWHN4yCwveYiz6VyVRgGLmoWiJXTrEZQcwRblOpydUjDprdxHoTWM
YARBhekK85n0UeyRq+3cj9HGRzxy7w5g8eMqe4Lj5G+KdCqv3SDEG+SkgFt9Do7sSzRU1a4KJhIK
QNpe8pUQr5iVyKZPDe+hCVYynJyofPKwnOexG28XA1iob2pL2GMlvDhkhF5caoyh0bjRzkwaJxQz
86V66ebvfUCktG9o/OVucbErtziukLiByS3TJ/ytO0bc+XPKdE5rekyYLXFDWenWb8Q/w1dJvPFk
FVz0ZTy8zAvgxURbxM3Qr/1LV/pwQQWhsMIX7gZVUvJSxUyqmMQXdD8v1H9vF9QfEQzf0W++Bl6A
1DjPDwZ1lrBMHSpiKMEPLETCadqLmr6Ihd+UNvCMsCrZoc4Yr0F5HX0wOR3a7ogP61XHU0essHXK
gvW5ljJiImZbNIH2T404vbrm1+lQOXf52ngb6g8TzuZdlYjkiBj/cci57Xjm0+SZ2zS2Sc3TjS7U
7K4+aPU164bgVb9kD6DEq/t4mNE8llNYzojLljKbmIIN9TE45BPiG+bikPuN6jjPo3Fvz+Nj1Y4G
GafSSloWySHgLZjuVfMLh/5VA3EYZXzf6uQv9L557ojt2Qx2m71GhBDY6Vrda+RrIK0y6qOwf3Ad
Ncc8K4nWWFz9Lg2igohE67nL6TPviTOU5PU73yxN0DyROAVA5glMxOkjzH4OHb6cEGL/wdaXMXSp
FpwKOb7HGdGyVbkUO+xqw7HPmdFpgkxtY9J+1Z3+jXbfclzQijzo2jkeI+tkmFVwdag8gDVlHors
1Nr3uhufLXNIN37aFPCCUgj6SCMPveuj7B8D655lrA+FvOwAQhdfWkvPr0JuvBViNMWoY8Kd9aLn
Bed9Qkp8Z4ErYtXrBY8QrOC0pbN5A4Ol3HWFne+IfXzKUwGFgVqyT07kbsoWgr4i1I0WfsjGdx9m
C22ukRDv6XaNJPW3KJJFVewDPY2kL2naCPBG91lclrtS8zwsfTpfvwwGqVOPJYM27Pp6ea0Wkwgo
PnLClciywuHHdzpR04yy9QAqq2YS746hN4i9ISDkPk9zNVzmNvlGKao4tQ2acAeRNu13Vok64ka/
0Q6r14LAXh8nmNlNI7x7Knvwggz59hdaj5VVcz+FtobaDvh3L09WgT6MNB0Xdq4h4zvG3L+kU/6m
J3YLQsp8cuOcdbllAVb0wRoCRiymZAcHjJIWJYpPdDUOHib8bcUIfMO18+b0kMnWziBwsFgf1tlc
TrrncHKn2aWKRAIug4zKBIcbsrrIxeuAYpmoONSH+rhSHij8XVTkXGg2w0QLEnk3FbN5a6VpgzY8
gSdOfibSftjz+EkRzXXzi4YGoLdTYPEmaoSlbf1TQOYY1WXA03667Fh7vVZzJe48FJieUevoR+cR
AUXwyQ/69LBWMG4zp/xMF2qHXi4KG1+rP6eZhVrQC4fGEjcoMKtbF5/Ho0iNclt4Irl6y0pQuJ/0
ZCwaHtonx8WXUQ53vdeaD3au35kN6dD+5D2sK8batqYECKlzvG0CdAo+joKJ7OSmdk6xyF7jKV73
fin8fbWrxyw7LR3JloNBvsjokbTalV6wL9pULj0TVnamlh0zoX1zKL88ZZF5VxeI5hNruHF1l25L
AeaD+1B9dVvrAfLTm74w8hs/dS8x7wRn/z7RU/22C1DYVb4HWWQeh0McrCS4DzTF05FafNsRSNR4
X+M0Cl4tasjQ6gykELRJqFRNxyHDBT9l5Xx1MSHB4HKC0F0zqIQ6juzEr79kzgSg3NJepNCubN3h
pfb2nRmBUDA8f2fS/gj1fviV4QoINd0cNnlXJ1enarh5UMA8ljmeWrhrn4rUeIrTGQBRlOxYlefP
7fJdjNHdQGjcS6Zpn0q0t4Kggt2au9D0TUoiZjIganf4aEuqV6xTmpZefHmmjC0XLcsX1HtfFpdn
jmWZhEPbAJZzqmBLRRFHcdqnx4AzftcTSf0QaCfLtn7EdRK8NjF+81WP77EAgD/Ofdy+S07FfUkf
Zz1vDlXLf1Wm3ZQJcZigj3eGCBCzdWZyTJvqU5SQ/TjlZX0WeQLr1V/Lw7yiyx0jMYRum5kHNzGP
wJ7r56EYrG0FUeHgGnVw51sjpWDEoF7r9VtndPRr0ECgqGnoHfzVxe6MMP8UIx8lH8+mLLFU8e2k
BfZNXrtfTANb5eiaL5NRkwqfGfdrWsbb1nadR5tzKJ6m0IWAfO4jvAODYzoH7tRiZxY4PKbG/GUu
y9dyyI3XxbjoYxW8LgVcKtP/ulZJhbWgC/Z23r3EY4C6uNeH7rri2hC5/zWxl+lca9MnAcQdbMGO
Tme97QLQL6ZtXN5vJN6SnRLf566YeQZOnlY/th33xGGAkFuUvcFiDshNYnflfYARbbOaX81Gdx7y
CX0qVVvrapJZEGYNd+rEbsi1JBPh2PYDK0wjqZ/hv69gSLmtD2ZLwa5e2mNhdfWlNa3sRCcSSVa+
nKEo+Ucudypp03cXH3G0RpdmjpBOG1Ap2yY3HvMi3hG1G1yspj6MUxucO4flsmfdxYOtP/b97dyB
WAAQdG6Xuj6JHJkqxocLXqA1NBKXql0nuocuiC4BA9C1BpK5TfIyP3Rt517HKjm7DbLvTCDc94ri
Z7M2zAq0KtkO00ODVWlPwO38GOvDU99pznNr9MQEuAg9jEYPSZI5aBQgr2X2pbCI5fX75UerO3gE
ggjWQG9sk9SnFrYi9u67lrAgJ0f1tlDy34x+EaHel3LzuPwy2a4fmvq6FQCutm5u6rdpwblfixYI
1DLrId+0RUrLZz8AoQtQeCAaudfiE7QuiJ1+sBtrf7gbUXHTIJyuZL4ax2iKYqrIjr2z/cZH/Wom
V9epfwL7gAYyG6GbsNzvbJtE4clv7y1Ne5vqBOZc89QD6nmiUyKnEbleu9uVYnRZGaFOT2k3YQv/
NDbAWRjatPXecPLvXsa0wza7XQMMAwaHhcUlFu0hWfEReMHnynnUEnu6s2UehJ1AAlnppWK4042s
ezBMGP19712IfgwbVjBXKia9XVSwpZZflmMl156U0E0VE4ppe5JqmNKryKoyh8UoSLiLFvBo6G/6
NuvvS6ZaM+Gx+zgb7pmzlteSTxFX2kyuhx0XhF/m+RagJARVK0ZC4LmvpUmWGeY//VjWxOGaXk4V
DoTBJXeK7WjhU7eLmvAgf3mxOxI3LTN69rQ2PfaNnh6cbLpLZNqSzImtBClNa88130tFkKk9I2Qy
I7/9JJu8TIPEmDV3wq72Fh2nwEybU04nfshQm6Nc3gXGop8d80yV17htMtfYMZFZKRhDzIvcES6a
LV4TZOn54IiTP5bcO8UKgQBkW5osNzX98hltw30dV9uBdL5TN9vWSUN5D7gbjbzGJLyd6m4/Uk4P
k6L6UVXcciMN0nVe0fBJFyjKSY/bvPdHgtpmlxYAxpmNr1kNywzNk+4pbDbyjtLl41vZZvZJTYb4
e7Gpzj7EDvHUEZUqVwHmHeL8bTStwdWTGVUDzYIDsZpP3hwRBGukWdgkxUNe2jCwJjorqGR2bl6D
7CEwZps6cJOMacQ2BHae/CAmZZM3zdcMoRUfidlg58uCCwkaX1BSlptWq4orPazmNFZ6tfO0FLfD
RI+fNdE+8BYhAwWXPbhC6zhQg4RGn+/JLeBXzYXz1Fokpbn1Eux17pZ7Z4n2xLPBQrOCxbhtIZiq
H6bEmfNnic1aiuVQRRqprk75GFNM3NYMx4lLvFtNSXW7jGIA7ZgFxCBXK1OMpmBWGZxAYZFrnzKn
1lpcYyS2HueSsxLMd3pA7nv0ev+mCtqJIFeHnF+dXi14vn09fBlNZlg4OByq7vo+s+dfni98cDTc
U4s+/45GiQvSEpDrhOBSyRPApDbJXHFnrbtpbdNDEPjtjtv9uG208lwEI+hr9JuY3M3bWhjZijAi
iRAXm5wCCRJFuiyfstwHotQRoquGAb66fVe8Zm6z3nUAWXeEdrWnvskBCdOT6etpOrotkeCmGd8G
U1U9G6L6JDnaNHGCY8yEcWfOjPURRq+LPc9Ppe6Oh7rXCeiOLJndzJ1uZsGiQ96gm5o+rx0eKexF
dYiDA/qwzL32noTbkW0iVkbRfCi5gbsts+moPXiaNh6KbHkLsgbfbe9B8OuwewXytGxxZNIrwwCQ
5zdiEW8plAtOv4pgtspKL6JaPmN+wotnL/UlqyM39LsZcDJh1xtoKJ+GwLc3Y+BSBx3WLhx998Yx
tersTBDNm6j2QsqZ8dmeCQE27eZkNM4Pw2/H/RxV0RbSMIqeFEMs3NqJ+2pn7Zbxvxg7r+XGmTTb
PhEiYBJA4pYEvSRSXqobRNmEdwn/9GdB/5zpnpoTM+eiFVV/lyMFZn5m77WrjG9S+NVwJ3Jmjt8V
zzM7u+04WH8q6hcA03G6i9XwcyYgMCSQbOMiL7zraD63sRa8uKKRx95LiKYe+aglBQLNcTbUvl3R
D3VG/GeWAbCuYqQzsy1ZPMI21boGYWYB0Uh80z9mtU1hZ3n3mZVUcLCds0cgL41vZO4t0Sug3+7P
BCptZDbVzh6VfZijrj16h8DSao1yxcTOub2PRPMdB+9PvZw6+s7joqfgvl5x9FVZBhhEjFM9ZRrE
ReqEve9MT5YNm99vZ1xntaYtZ2lChCaaSnuJ7qdo+Ebnyi/IB1QtEtov0Umn2na7W1vdymQ8cIt3
14j76CAY5YQrSSRmaHXoHUBBeXC3jIO/7Tw+i67b5XuzzazQVBMRTXr5LdPFCqdmSinFacIAYt7l
tmG9eMpz7sCP5IfErzFr05tye5RPcdSeHNfurqx2q83QqfjgySwMZKFPbfkwAXO8s0c/PyVlpPEB
lixyLV9LuGcLdGyCwDeVLpJDEeFzM4h+o1InfGt28YmbHUu0YApRNERvMXKw3qyJm0zx1VsO1U5V
ancbYDgMikOS1Rl0e6M79EFusytGXYZap952s2y3ngMv0VqvwIns0LsoSF+9tpvu8GVNw5wdl7m9
zUU3X8gt2bKR1S+sJgvtdFt/TeSi7zikXSlv3WQSO2Ws85y3bKLoMj3pnXqiSaiJGPMGMX7AIM2a
9yra1FY0YKVNlkODf2JXabZZSWsPwKJTTDfxeDIW+WgV2rpV8tug4ZOZY3WrrWJv6Y4IPjR3ocF1
cCIcZtv2xHQtpXGcy3nEtOyRR4QpMvQFOyprTE6zdd/TDt8n2fiRd4Z+a+TCwKD80RlG8izy5CNK
h+Kiovjb142V5mtmbOnvLIs8eryGrwODmMXy2uc443xxANhlNlaquO+GA4ecfeJYoWR/dFSXv8WO
Q26SH45OwGsj6hRvc3EoksG+jsCctjCw1YFcSFBmo4m0w6uQExI28bLM2YZGxAT0x0PNXf1gr68W
VTShfaVITkE6dgcn9psTkGh/ot5TozUTMdq5G6Eo55oUn3VmqT/e4s+3PPeOpmPop4kS0J6fsPbX
n6lRkXeI7b90MrWXU85sShDkUpIAIVrz3o3dnQvfGlS1bZ9SqxQsmG2GGNqMHyBHBr08NdOMBhST
fNQcing0Thrc/SWZnHKrsgBCG8nd0Hgq49jI/rkCzUnoYGaehgKbve2UhyEOEGpkePLFDNYmH12b
cB1cHmqeCD+EEv+DPfemEafaHfWHpSFnW0w1N5zkV1FM8TFPI0p87YfE0gf3ZvVLTt1hmpp52+pO
hrEZfMYG75ZkPkMgEaMAILYtlDzryVyyBH873QyVzXhrvkmxsF1xWrbvaNkwnVV3RWG4TzF4r1Sb
7/HQOd+U8RFFBrnxjnsOLC/CsuWrCya7My9mvHpanBjktkBGpXnME855bnEjNAyDYUyB3TJFglMn
/vCAJOuU5iPTXEdmzyWy0mApEdW69YQljWe2Woe1zqif3KRlmAnBgZqWdOsF78i2EuVqGi7fdPY4
ETTEKMX7aTvxeB4Mv7wKUTGNHF8SlflXMZ4UM/S7gHvZtsbo6Oqp2GpoyxTfqEYXDIo04lNKmpmM
DgzOmWKVPn9JCthkioxxq8YME7dSxjExVh1QP6t9mUVyWw9wW+1Oq71bDxbbUSYWwwJivhj94mAk
ldgw0O92gzKKfQN4cl+T03fw+agvFbNyv4hvlTE/VQ7deI6epp/64Q14+XLifn4Yhfw5uFXwnKVW
8FwjwFETswkpbqMHAcKyjGAdOad7XXgnozeRbWDbe44hihgUd/ejyt41i/kzx2WyLZgzPDIf2VZT
lYF1I/hgotZjrI9jupodSHZEKLAgOM/WTLbG6rpPmuIgR/vTZmq+SXtvBzAoeffwTcqsfWvcn8MA
qYsJhwwHEylHFuBaW8cfUlE5x1Nw8r2swbLVPHjeSGGry/yRcKZnb+n8A9XXdCLq9YFSR7EKzuJj
gI90Ew+VvotyA31gZTNxbYg2Hgw4kH1vIeiqWmbBuBajIW2PyJ5a6ZfUR9wV6Zq8pUv9Y6gTD0AV
6sphtm74zIq9NKBaGDZYsUxhj6zO3Dgz5TBHsr1qkXC3z8e8tbdZzn3kwYtplA+kTPkPvtnoM8Zu
YmYQTqzyhSx/MhYH3xpyPGv9Yv6aEkaDRTYfv2xOeDefTUYo+y6KvhnNhAG14pjE6LmhuAct1TJx
NfhFRpmaZ8Syx7mQ5B80Y4pdxLxSgSDcXZ0cvhYN1AQDvKk2qqMLGNDruL583WNDZ3qFuBKj/eL1
V2zc3WmK5d4lSJexUbKb1qi4XqnxPKHMkLxtzG4JTPfb+EZbEbaNaxycQjyYKnD3JuE4ZCRmuKgb
goFtGt4c4btBtOfu698JGXPh9br02HmHid7h/Q+qV7+v7lOh4NY2XpgPcjpSUnO4rh5gK3GrUJlO
vP35ZYPzVismS+XxUMyEpqz+r68vinIdI4d5mhuGg+NI1EgB/w22yx5B83vVEjVaVbiftLorVjsM
6a392XHzP37VL7teAdhn0AxBtS27MO4yJM0zBqip+TmBUNAsjioju0vb4HOJPr6ckPZCJkgFCdtd
DWhfLjSVAZRR8WyHX9460wAhyQisD//l7mTkC4VtzcUzAvLohFtlh6gf7r68jfOEV7uKxx9dDMRM
2dmzTx3E9pik3nle9xJIDYUpwTwWI00DkimwA3ynywyOeRttvKQEI5TgUMYdx3Sw2mMsatHXF3ez
nJwDpa6DifFcwregyQLYhrUtYcO9N8rghyKQtSJfrKv9lyXNf6Oq25vVoFjesMjglvR4Vk6zEeuz
5ah4b6MT+rLo2qKtNvMwf3NjhpR1EFIFovadjJuepHWa4YIs0rYY3BQG3MWp30Rq0ozd+EY05avp
rJBI0yQwcE1ykGA+W6BCaC1hYaJn9pDC7oWOLtUI58lK6+XAfIKHR6m3AZ3Ta7V01ibO/KPLIXDy
G7/fq7qK9ks9vwa544RfO5JFV+2FgGb+roc7K5nNB0P22ScZCGFqUH24vjbOiHZeYmOy2bP7ztks
5zd7nLydSfwE+b4uLACpDplBej1mNPExezakHfOsrIgYp4wpNxOr2STgcTHoZbBAiRjogF5l+ZYL
pBB0j4NA+B+f6bgaPmZdt3AAzad/nstVvzwzZySdyHsVyQAsxX8pgl9u99Ym8ZMx4xhc+ua7H1gE
u7VBT5qhd5UFuJulz/5M5hyKoJtDz4B4YxAzBjtDnhgLGxutOwxeiFHY6wjnWJe+fTb4zbFdrgNH
vscIVf31Mt46SUVR9OVZE8wQ9x5UEu8nZUrgObtAa0TDhrgbc/HExJEYD+wZhgi+S7v+ZiYDH97y
MmQUwN7zpG+Lmr6xjuYo8GsanHH4MMr6Xf+U8UOB2xh2yZ2pATQN/dpU26+tqZ8BQp8NqJ2ENj7V
sg8RUYcxV8I2YhbkwcM1rR61ehG8Zm28iwz5Gq/5jj5GgNFJs6Mb4LwDHTQex8XYwtBRTeOc2G70
5yK2eYsxfjOkw2V66Kl4FyZkTXOISybaLJm3XpfojbwbO9rBxkKI4s7Vo8wma2uzSYKxYMO9oGE1
N0W2BzWpmN3FaNYS9ZTZDdOI0uohkmUPwgAWzRU+J8+K8RPlixLbgGuHsKcljJ2B1fFql2CkYRL5
Dcdr9oqd7qdfXw5csK0gamTbMjIwUNVEsQKYg7m0XcQxbt3goGiILK8bjw6CwT5WgpBbBPb/2MNT
ce6bemKKZhtHHy+zsnPYDUF5HEbu7Rrt4I5n7VeBFnVnq4WaubBHmnxGX8wHoCulNJVBcJ94/gcF
sQrRbV2/LMR9LZGqTK51VK0yD1/uZkAHn2wmaDFSmZCgqPhsRGZ6YYeidppgYyqlUZyDuin2C4JI
xMZ4DAuLGV5vHpRTnReXoJWioayefKE23jS9F1aAklXOb/X62yKlufAavjvaeKRCQJOYR1eT8+fr
uvv6AiejPwNEJQbWlbfGjC8EBfH6VgPIl89YO/lz42KsVxES/LqKrXDA/cRZ19Cr2PSFSPCrVUXM
v7aJeN9jBSjJKYsrqgWwWxFFH8rxB9PkjwjUuRb9te4WtIQZH/Ssmr/LEfhjwh6tK1ua5vWWXv/l
Xz8a8+9DEtngtiZ7O5HpwgITUWRZvE2PTokPgje2rkGOzBS+NeUM41kJEqnUh7xpAYUMm7Twn7iv
gK51DezJVIASUwt4OiT9JklCTM78+2AiUGpIh3fbL773ypu2yQyNwMgpfwvbFnTIzo9grU7cXeBw
PDslSzX0tyGSRyhylSXPEViuUwtoS9iWc8Dy/ua63Bkc5wRmRqTPxkHWbtocJAp0CbHLJWm1Lh65
MA8irq58Hrbxah3KLfsPMIOTcJljTotz+Lq3GWD1J0N/d0zjRSTTNV6fFEDTF6W8Y2OJJ40O5+Br
P9rWXQaKgTNg6w/ztYfxdojS/UTyVIOJ6iCc5m0eUsXjDWWkmy4OE6GLMOM1mFA8OW3RsJEgBqPw
pju+k7BXvxDE45XK9pFuTQIoblvIKJ6xFUn5x7U4IOiVw8AUwEiW/F3ySWp62DTRMN+Poj5278R5
2qcFPTjmbIfvnBqA2Zq/9dhQPVXIzjnpokMyMMwbyUxvaQE3mdTtlYloG60+QC2PkV0WSJjr6TzC
4s5zWG3+OphzfBLGspcmNfptGcePnBMRY0XGGC6bbayDVm1xMlpKn/p2JCc6E9BvfLlheEvcYwGs
2vCMQ+s00cHNdH5UVuJvmdiJrW0YyIxd82RKSOVKMy4o5GcC5uFkWhQx/nwl7Utf2kQyTUBxA8bu
2ilEABQmedt/j9Lyh8m3eOPJeSaqr9ch+g1nMw7Nt9Kzv6HAzZ3Oha0EwcdMf5QWEpZq7lALSGM8
TS5OEBp2vS3prLdlHm+N4amyxxMdj8UtuUkDcyAq0LGRxrPbDbIJ3tTsDyGV8xuOlvlo9b9Myzhq
y8aKWa8kmnxbBpZ7S1PePMK224NF1txGNemLz8L2SLgbzp/IOo/u76gC9hgLdXLpJbekxXXboPrT
VlH+EUC+rXVxsnWcfQsOOPYVHsc2P46iFPvFcX8HNRHzqQap1s0bpvcRyXspwKiFTKQhqU+Otqod
L0DtTXhYW+GiypXQg1iAoogP8DkKnBeEwXlvPARbsTAQijUGnH4VBigShdfNfBQU12TM1dHunkzU
wKFB/vKcJRR4QvGh2pam+u6sRELWKT/hUeLM4Sdj6pMboOZD3snVz9EzajRJjDLUyAe8OIFCHdkQ
WeS6zaNi0vSMYF6dkGDN0J6EfujT4aYAW9cgkIi8/cX43r3J3i9ope47jJDhoDD1jAnjuh6aHSu1
q0WD7RYepiqlDhxQ6VFWtbullf4o+lOdm78wujGbcKb0kAT4PFh+EbDmloeIwRCnFVWKmYb5cg9K
cRMF/rDzl/kyTbCuhD+Dg2mJMBKothyBbMwWVVihrQ1diesbxld3tB3/93CPeT5h/tcW0bCZhbAA
WKYsy5dw2pks0PZRKr7Z7YvjO+2pH9EoJGjL1/0Vyh/UHztTewWUx/GjcpC5ZOUj4goJcD9vWSgj
YSjwjgmD6yjbMXykg3LhnbKVoY3vWTp288i+cWTdVYrLZK7dGgqdilh5H4+AZ1YfPjLzwusDtPUb
vxlYkGBuo+uwiS50ODQMwbJJZ8WPYMRkZa7/MBcC2gY17J1dRuQT6abZJrH9SzIPbsyL4RJmruLs
Ja8biww1d+s0Bv0dvK1NY1Akc835SGaQg7Wb2Yu3adr2wLSbJ7o8Lmkzb3BiLTtyh8M86eeTyNEB
tdrauQbWxIIUr2QpHgsGBaGTDD/81n1eOqJeGfOHdY2b6epJp2BoytqIueMW5+XJbGOSbYBWVtre
ebOZAXUsA5QyNoTwke0hyvhcAG+eMt47ZY1PRkucR8zTUWfumcVoDvm2PqTY4w6RVZ6gbdXA8uws
VL49b5S2frL6dbZe7TuhTgsGMfZ0M9OUzPgnOpz27K7O5MhO9kIu35pkGDYAMzuGXtOHV92rABqZ
X4sf+Qi5R46+ue8TPudFNXwi/inWHR2Y+Dy4sAg2DnA0d5hiOfokyZ4lAP4qwVah1z9l9Eyxb6qa
URsqp67KfUZBp9Qx6kevKG9p3gVn9jdeKKL5D0l+09EpvXtHwpyjhdAUjjp07JiLFzfqHtLTFTDd
Joo60luR5xX5cKdKaW0cgY2x5Gmtm3oMTQOHtsfeIlTYflsGKZt6LHbKUJ+t/Ug07fJaF4eFJwqf
A74E27b2SVrVW+1zF7mFyazXH83NZAZ36MackJ34hAXG3gyl91Hmc4/Ru0foMj2rAno8eUoxgmjM
emaxPg3aZwuPXdONUNqN3bIzzfSl96x3yfqoEKA/I2Si0qpiPnOvOTrEPRIN2nSeD0Rkjn50Yhlf
WFPdjwgPN03uJXuIAMSbRO9xUEUhGJM9VvuEaFHE/IUbH9cpfqeBVBIWhEeX+n8x2nCx2BgV84hP
RAAkRZd1IxnhGvmT3lsWj40UbYS4rzH2TUFKTTvGD209fwL06sVPwEAsBOryte5A0+LA+5YAJtjH
oMuLGK9wvIDc4ti85AutRTl0fCZQgw2bjubtrJx0VzcXModYPXIvB6zCqOeTt8j1UgoPW8F+Ys5p
ut15LNdP4kQNzdkH0uRL5d0Q+UQ8n/dKxk53MtfK3V8F519f/vkpxHUSw4WHAwaPhDGTLDdjVByL
AkzPl/3/68uXuf9fP/3/+G8FPKdNR+O5BDkWIfl/PdlDavpw9egzZ6+39rKVzyYtYVZFM2qjDkIj
aK4vR/PXj0htgNT1hev6zy9//bevn/7rd/y/fpsQE81CsuLwBVFSTtLYJCG38ZWQAblT1jIRyNCh
zJujJTTA6mfxku7KuH0Vo/iletVekzQZsWlm/kY08lLKmOmIZ5Z7CNWIBfhVYkBm2jkJroIdGqL6
LO2BgeDM2rUnXTIfh/SOJ+/AEWvvp5maBEvzdB3h7XdxIcLSnc0NilI2lYw5XFa1G9EnF8X/P8fo
jtGxbPvlyLAt+vbNyqzgXuR/ODOnbWVyzPUa4pHXdAdXkFpoW99VCm1+jrQKSQRwiWXnlMRVP9IT
MnyHbxnZn5Kjg+TisJycb7Ud3Was32ReM6NiiU2cwg+79og1hoVvdSxBPdLe83mceXuubZA6zAwd
xI8DiiLbkziNqCi9yHjriz+mDorn0frsrPk3w9UYKlz0qpoV3eLMB0d3sLKyLMXjhq5maW2xbeUh
q3uxj0Y6+3Gqfi1zek/twjVo6jf00MylF44CIA4PlAs7SUcEoMaHY2X1T0WEX894QkXkhLyo17H1
DnTpEJwts93advJTM6DAgAJQbAqG4mi38qU0sCd24ziHVp90W/rlq7MUn7Ifn6eCwsFcPdxjAbmv
qrFqCaUuMu6dQ7Is7tlxGvc8rCBFDGwvuWH11Lx0dFMxAc7J/Cn0p1nuJ7CEOcTxcxP4/TbqvZHF
8K/G5YPbNfyBlXYMKAopg6xHxQS28bv2Uk1Xm131hkOTvLyciyZMigywAtSgFTL7SALocxxIzXod
Fmk7+MvGsCb/7BVY2+VcENDiluKUsm7JEsapY5AfMk5B/nXM0gtSmYLW5EAJ7JOMg/wyB9Wuw3lz
FGuPN1R1xv6gw37copUIoKtuLFXYF+Ev7zSKcIZBiqlgjI91hD2+ztB8T9bx6/Vb7dXxAJiZk/nA
tvxsL7NH5128+1l2cyfnlo7o3uI3EaECkmZtIktgsMxQ+qlPqXdsxk9ff1Dg3hFsgHJ4ZOQce8a+
Y2YwxJCc0G3MIDeYxRJZhkdrlhFsAvzLmNGPTTwMxwHcJnTGmaUVxuWiumSJy3FGik16roqev3dg
pj9DOfa9LUDis98YPDjUw2hc6f6zYE+R99nG9ILCB6cgx2E715RveTYRF3svXeu9m9xy62C71LV1
56Rk6uT+51LmH1M7oGmc8NaP0acTxRFb7LR/HojbMRczPvcxzFeXlZlwBJJnXKO6jz6spjcJ9YLX
3iTzZ1bXoBwy5lEDuKhdlEZ8Y83YfK7c5rdZ+Ic2ztKnHiHDBg/blnBdYJMieSohWWL8w40r/eDe
yKnXaR92PhspVtMyvRYrsNmIwDNUAgxG5wWnqUzMQ1Cc+3oUd9UUGMc+adk4tgEjocZF4x1frd6i
nfmOHTW7K5fvJfqiufGfJkY5io1jjahjr+f4MV+7qNGvKiZT6BYkmwf2jmnIQu1F5sw5cuJctzAg
jF1VBz9S3AeoufpyZ8kcqMX6+HUuo/pA87arctFb1suX2MajpTKmWyYV6RbedHKISv0QKyJgqRPf
07p2wKmmZYibooEA0XGLFbNaOP1szj/LK7bkCbOm8dg6zNMux7yyXWbiZcfUVRz/3LLxMH4OK9XE
+U9eQoD3k/qGuQE+6fvSGoaDxSZCOoiCYKeUOQBLwGBQ/c36cbDwJa8Lja8vxM1yAZiGiW4wepuy
iSAx2dbYXJN+5wzTr8IEDiUDpM4NyWGUTJhSuUGyLhS2eikLCkWcE+M/0Cyvx/ku1i9LNTAi7Ngs
fvE3LDt5W2p+baFhr6We3ZNtuzY97S87yUqGq/weFAA0VuuZ5pn2n0BC8BoT8SYgfiU8Gsegcdh5
Du29RN/0Wdds8LBaA1eZ3tt1g11JQPnmmP1CLhWfBlmb10Gjfvd7wTAwMd7QKxZLlNwQGXfbyRAj
3UUm9qMmuCnyJvYAZlpta1n2IeO4+LIYf2bm9XQS4uLpxLsGHSvtcrHa37LeldvcHdQW0B63ivMx
9iyKTRMxljvK5JqJ5o75OfECDJuoy/p7uCOnNiirJ+A6P/BRPysRL59GVV0Cf5x+F05yH9xGd4k/
24Kd9mJAOEYOgDpZpjpka/dmE5WULu64B7kS9jOWgSVmiRrYdfJh98En+PT216zffcj5gEFuqhMe
3dLohqJ0/kQ+YtS0UgY2YAnNYbDpDUsEWw5elNCKFeTUJPqdLQDWVQcSaY16UtVS3s8+EtEWN/Oz
v0rAg6qV36zx1NX61pnuk9fA4XZblZ20hFtTNK/MqFhc5atboFj2KOO+u+lNTEn8UrYWY/TEDROW
+nwyONn8Jv0OJ4Zspgg1JRSEfk+VXZ9chagkq6rnCo1cHZkafbEmXtlrnkZko4IUqp+ykyNXSdC+
1DFURCrbjVs+eXPf3UXWsmtmC+RZYkVoBRB2zU2tcMBYmKL4Pnqxj31WMoO159+Bk9+VK1U/G8Uf
u4lPskXyTfPu7ZORNyroHffaAxM8cRT2B4HC4hnPF30unqbfrjpai1ETPcnyyVdLf1Gxi2Omt24t
IeG3qWWt6Hvend1Xh7kam/shJn+9ByZzyGwiDibGbffSMx875NLIl0lJVA2wkTZlmDq0puRM761P
bS8J9GvbP/vrmuLrS0FPeM7ex7ir78ssre+LNvF2sma6+s9PGeQfCCIAL0KtMotlvMku/ohnPF6F
ZMPT1/ZTKiM3dIIBPVWT1LvcaFabSGCstGGi0l2f827Kdu7UQeeOvO7U+frD95eMpKz1Pa+Z3IjM
EndNZry6vR2QdY8msov/WL63XpHzG+sgwDALfPRBoJZ2WQfj8TX49qBy1DXe0zhfzjp2I7KuFI7x
8ZzEc3aTz6OXISGCcrGVVY9AIgAVTRL3To/IMTFvUBLbgllSjWmGXFR9NIpS7mRk5P9Q7f5LzNC/
51u7awjeX4ZBFz+jjW3Q9jEP/pVy1cdRntTdyqC2NSaeRdv3Q2eeE7sLHnm79lAfE6JHHJjVzG12
npg1tzib/6XElEIphZg9n5McRUv6NmhJgVvk9jnJEuOIfKUALeYVhKPVzn9YoZw8hmHQ+nmoan30
poRANkp4FAO599Llgcb70VsXJ0OHXxFOzSABKifzpPho19FnTvzZvQ6a9GT3zrWOFnX/ry+SDLRj
rvoXZTXstQR10oACzpx9b2G/putdbVpPvR9E/8vbKP6OBMZ3KR2LfZfwJVgY+6+InzHGELEA4j52
o/+rHpT12bfpsM2cVG4w3XhMOIbkY/moZ43mx8+dkDG+84Ta0UUOklenXuTOE/tXfYV+v0ezgIFF
FNhfGHY/88HFjNP7L+asjVMG0Ql9ibpNWeqFvPd6V3nez9xqNWTaJH60sSEiuYi/5S2o62Faijcr
mcpQVILBqYj9LfLPiMTa/iSnubkgCb11Nj49oZtTx96Z+kxbb1KwP/83MuB/GJD//XFbqX1/P26B
IykBbQ+brO//FQYJrjyCAioAxNhROJH5ufMifajHipeb2jOlJDQEFEfdZTCRssbDPuUZOIxOn5wY
Dz9EZWDexWwo/Bk07JeBLXW75ugqN9gV7Bu3v2BbqKvcNdMyvxZT8jCZxUSqDlpGIyo+jTQdno1R
XNDw/M+vjb/3//niPF6gh1zYEn8FTpYzLtZyWJC9e3l+Ql7K+HQ/Vk7yLa41FkhVQQIUfCPYXom9
02i4n0Zi/ADRzt1VUQS3eX0UpCeRnMCylf0pyUNzb762gTuGflsw6uax2uilQrzCxvaqHD//tx9l
bvzg2073MPeg1w07634OHJGeOZfvHmixvTwg/pnOuHKth6XSZaiU6X9GECeAYmALnMw3s0s/ExiA
r1Q3/SHHAXMUfm8/5QjBN2iREGKOs4dE3Xhn6uM9Y5UASZYmYtfSc2yrCipRw97kuMbVe07IJ8e6
2PGNLOsFOLQln7n0zkjL++3Y5PFdHXjxA80sB0KEl7JNp+iim/J90N7we2DZFYnuW9XPMxp3pKC2
+9QN6Bgy3yWp2u3Ec80s/wArDHYQDXVoWBhJiwY5n98P3kczVVerXdzfHK1Hpp/RxfMmDLVJBACk
l+oljUQOt9v1HrDZ4bgwCpDDDPAzTIZpvOfebveLgUVl3Oul1p/Y3hCO6xOfXfy7Y9Dd2SkuF0Ek
I4ghwjx8IoYCRAposQQ5xCQIdk47H9wOKeaQ2j7Kqs7Z5ZQZcVRZn//zU/jfwsnZhfg+/1up6KZv
/f0JY8GTGA6e3GPAwPRoIl12GG3e+8N7Pti3xAcqIVTr7Rgm2pccxBgjv0wdkdDT8cux27XrzjEx
7R+Fy5yXrAN18E325Obssumd53AJsHfYGqdAv6rql05u/E4TizMzg9St3DlVwPw+ij8RtiHaYDq6
hedzb3b8SuAx7hF+/P/y4Vvj2f46WFBT4HrzHOE7lmn9dbAYbmMsPcyVI4Tsa5LN9pUoa9DquZE8
KKKbitIujqUqXyo7QCY/mP0LHc3VGHsazFb3Ny3wWIIHZ/vjqnsjyr11WOkgk8GzXA+ov1UxoBxc
hZDL9N3C/bdxDByAKk1f+RDVYcBOLGv1g0do+JrPzTg6A9RDqAgxIG5IPI+7b9yDZv8VLqyz/pe3
wPL++yUEkUC4gbdSUUEJwxn4L+b/waxxBDfxcbDr4TrnSt73pKRYhf3h+V33uCgvPjcqIaUY7YZI
6vcxicLWV0Q/+CYDuSKoP/MM6rv1nM8ZKubCdl4KX4lNU+bMfZPp4jbt8B4knxEyhdswDj+ayTSP
djPjczOE+eakfogihU+aTvGrzNW1cyLk+6yx4yp/K1m8XZekfTdUl5BPQeixNtr+OfABV5Ly1DMR
CpsCKnrfV7e8Nsdrywr5blLzN2lq4KvI9nRN8Ebiem96Tt1rZwtx5bz8yEVihp5t8ZgCK35CP+Tc
wRp4sMl0oTUssIeMxj1Z2TXhF8IlaWqpryBb07Cb7fsvbQln9knntPyDSXaSOzfLU+1ahHzW1aVv
2ifH6eTdhCCKkOUiJIYMxTF6yQO71otR1XhOujKBAO3ipljkoV+CS2c2rApGM+HIk4+u1WcHQNXm
ii4Tu9FAkIpNUdUCBbpfyzvb1QaiJeQvE/qyPfOPX/4cmDvc1JBTJWFNY59Ht7ywrkwc8kM65CQW
S5TEulTtLqF935lWAXpU+ojvLCPbJ3ZW3sykPyI5Rb6X0JdHxMnQnKtss8RjekHTraGPMjR3Yxnt
rMayD6LLOAreKK6o/3ImekaM8Vn/cC1yQ9plRsq1DJ+m7+jDEiNCwRlJ7ddjcKxLSArko6yZTvGf
Jrdv6DbJnnWc61gwHCXC7SAR5mwa2q5bm/fBDgiSs5tmBi7JbGWs1ku0gD5qizkxX/CZV495PCUk
8PA7yf6lVl/kG0qxDVDsFGJd6t0V/cyCp46M1//5QLXsv+IbKeo83/aFZ0nxf9g7k+44tW1L/5fs
kwPYGzY0shNBEJVClVXZHYZs2dR1za/Pj/B5eX113zhnvH52NCRLDhEI2GuvNec3DWm78lOJHBlk
Lc2D0vZMU0nIY3Z0l6kg2KLoNkktlh8Dm+jHokoCbzbabFcpCcc3Mr4NhQqhJ9C40xK4EqUL17zV
zOhIMsC0Bbr4ZJHaeGhAFviDGo2DEPZrRyLLtObQW6XV3nWzhnSvHtqNiLLu1g20rWs5JRu8+ylK
o/t13PdAQYq3gmDKXVyg+g0Yzju6meydgUjXvBv4fyHtFPK6MlYhkV7sEvHDYJHXC8HMulgyZ2xe
GgaT4fKdsTmdaqe89KAWUfdzPcaWoW7NrKuBBcetH40NUTAG1u187l7z0VT3YxrvBG6z1afnk5CQ
Q2P9oeb2GEPWQmh5b5rfaV8MBw04FzJqf6GIuFVUuKwk43gAHoL+xE68kQfybhz4LaFpk1CWB+Q1
2OE9hCwkN2zBGM3NR7gXlnf1wVvqLMDlAG2olkMum36T2aP7go32ks7EHmvyoViALlB4i1NkudgB
wX4dsM9HOBNcsZPYsDdLXYi7tKA0R5h0gw5za2gVxQZGryZDGTNiTTrbRaj7yNhXUduqhEBcjd7F
ekpw3tD5cnJvILxxm6TlcnCdtL6N0YMsYCt2MsSMh0oyCZP8h5siDHATQuiawDyT3L141yv2/2N+
/olUDhlT/HFzr+m0f6XOrvG3/+d/3ZR93Mbv/074wTC0/q+/CD+O879ZO03XlcJBjQhG5/8Rflyy
Y9eNsmO61Bd8h+X3vwg/hMeajqnjB8XdgA+SLOm/CD8mL8gjQ3fpWbi6Ltz/Iax8rWP+2K8bKH/Z
qksKPKRKyvq80YznZuxLqM/HwoKjGEetu3ea+YkAcD8FNox/1taYoKXufm6mLeJUtAuoimAQe3hq
lkuUgkdAULlxSf1yDAsnZn2Zut56aIL8mfgS8sZGwyulo+0I7m49ijZnH1SoW4spOsLyYD7W7eu+
BAhqNl8ziX6vxaO0jWkeeT17lG3z6ty1UZ3Sb2nZrOSrGu+NUTB9s0QM26Kn5TRoLiREaHxaoLBj
jXTI6NIB/1xz5ODFOGgHnQLPhou8iorgvc5kf2Bq/NTUDJSakPda6p2L1RC8j2TBCsEPBjX2NaPQ
+p+dGnRsVtUhi+Jwp3qxyeiu+kjsmBIV2XuV8wJMjIG3zrk/sxSRnVdPZ9yG2FVPFaXwXTO3B30F
dUyuAJU7jIfEnj5a52tkNJR7SqNVmiAsc0pT+GgemC7HCR4DdNReOFBO01PzcwPvXMEavAk1hzmi
HWBNZ7lNHPmNGksc/rii739fCX/usK+F7r9fIFLaJunHIKXY6q2Iqj+LQOx3zVAOVXWshPukd+ig
rh8yB0KKZbd4rube3S4ZibU9ByUzHWGR+utk/v2xfFo4uVYlLUuqcompTRmfE9QxAepTmKbg7fHr
buKq+CqMrWwOpdbfh2YOMqX4Gcvsn87AJ5z/+msVLC4inh3LNUzx6QwsCBaWNrKzY6vFN/rac+TC
plG0jVYaeIcXCQkmroER81PVwHLWCIDbB2N34m3Yx7pcXv7+PKx5CZ9uWqmkq3RKdp4fur4W7n9Q
uRKdNY7WVHaUESciKTS5ba/FA/31qSzFRqNbtLFlZu/Ikj8TR7f4WpaeonUwNwkbFMro/hwmwtFs
ezH2bpntry9lByl+DtPEcZZ8+fuD/ryRvJ5GS0JWlxQ+tnI+lT2kxY2UEwkHjfcIKtF86BJCvTrs
VDRxsdnD1Ik9MdZfbUPHFB1yH+J1JWPU1Ut6AR+1PRd74aJR77US2UywieL6GZsyvRnkPiV0bdjV
26xOvndllWwys01PhBO03qTN392+JSlwPRFm/DFp0PYDq1wLVPPRdOoOVZ379A/veL0wPt06uL54
p0roLrXep3c8pWEW5akeH4tuPAotIwStjvN9OD5HTOxvhOvsSI9JNropk5MhF5SYNBuYiNokMY8q
9Cv0Zah2kFrbjLX0xvJj2k5gnlAGTO7TUNsx8qXbHjrUDpETWZwVjv8iC95dRJ8oh+r0BCJe9wur
f6/LaTk0Glq5EmZ7HZChyo5BEjb392/bYHH69LYtXUeKInXl8lF9ul8yo1VgYCGOdI37xI595JQv
d6R/f9f6oN/XvwqCTgvT0HZTO7ceDo5mtwK6iDNFKoV63D7TjrThPAGS/ftjE//dsRmGZZrA8xwp
ry23P+4c7GkIThs7OdbzAduxOi1Z+VY6DUtCaz9VjKOQC1m763JgDjr2/koirLaplzN29uNAeuJ6
m/fmtxYgq8RKuutC+4HLsvX6ocb51tFxNJbml4UHB8f00+LOmOPOjmPd061Ca2eO+q4EGew5WX5P
S056WhhvK6PKgdbESIsC+/L3b9v4z0eYRfKJYbD1sF2F1uzfHxgphL44tNHhLTZhDCiv72ULKk+3
KcHVEj8UtWAA1u3HTpzdgC+wI5MHW0dwRyR9jrhPNv9wSJ8KD4mCVJcupQ+ljAWv9tMhyVhDUxu5
8THCC73J9OVOj2y5b/KCaaySx4iorUM46GfTdeAaqOY2VqOG/c34pyNZb8M/btPrkViGyeXgKFTa
n9scSd7ZWqNxm3ZxsLXkRxtN2jGn7Y8Wbhy3Js+hdI5C9HnRNqz0VSSJqjun7TmPmb0VnXrOHDPY
Rf1i+5Zp0T03/+EYxX+0gjlbFuk0ay9mfZqsZ/OP67a3s7axy4lHSWvdup3hnhotxcNTvmjgA74h
T1xCIldVTDRIFX1Xw0Jq6QjKxorzWwrKjzQhANmpPlLLTb5Mhk2WLBPpxMnvTW3lP8So0Eq8qjt4
TfDbTe2578m8LmezvYAvGrCXrPHpaHr+4Tr4jyaTZRuuw5q+7oqZWn9qcg/sz+Pa6uKjLoF+14DC
o3qYz7HjhF6HlXMjmHYXJrCczgBRV6I72AVizk9WW2KbUSOauYNKAVL9/YFZn6qN9bJgl84JZ75A
Le58ukAHiGblEijmBFD6VDdjmkzKhLV+frJ03LUTMFhAGMujEwhjPYEID/joy8afCCuhCAWZ06jV
a4fD90g/CPmkUGB6ZuOwZK2/FAai4jG70wdyNWEohB6xEwaUF0bSqGyfxITmsV8S7b3MGfaKod3i
9P2YUhJ45YJ3KJA90ULmZiyt/KGvkVHOZGASYwaWrV5H4W45NjeR030EQ76c076/LczUuCsG/o5d
eqitqnsnu/MygVeE+ld2EX1eYvR6N3T34HhoZZWMuq6hKgEH8vD35/jaPP5061lczC4wS5dl/HNS
EuUqVBoQIYyRySZjm87qjSV4WXjjWW/Z9yIfHgLXRhUWDIVf1+SSE0Ja+fbqtTRAXrRNxrg9nQgx
IKXFivLkfnb0FeNRHZuy+FkKWTP5Cl8DRoEH7md8kS7x4Axc5GZ0oRY4iOnJLA1cv9aru2po5NcK
uFDgteycbkoLJlIDUy8JI9uDDr46fIh1moESnZYW83XETDFDaEHttD4fpvMIwbnqx18jsa6eNeKU
DinnPJuIvM1Yo97lXn6P2vluyQiabZB5+Zg4kCu7jPtSUW9ijZFyGDTRQSBGNpwS2a6tIcfJ3G9W
qKHcLec7jrjb1OhoFw2Yg1wmkg5II/r7P9DntZybAMasI1D6W9Sq/xFlpbsFKVAZZ0mLux6seHuX
BoV+qCbE6Vi49wzLQDWTq1DDOtjoU/FkZwwLlVM+RJbBVAIuZapBEmL+2m4KtHu7fzjCT0XW9QhZ
x6k3TIePnzcFsWZyEWlt/LsWrsfhSx6E4a4kO3dxHM44txm8+Nmn57LgSqH+Cevy2xxTJhMHDRa/
Cg8SjMNGLWzA/uHo2Pl/WlscXSlsq45F7811Pj3dZqe1WjklXGVoI/dxrOOv78dvyLlSPzArcqSn
cT5rEvAHQiFBTvohBz+w+b3oRXXo/f0BAT5Zn1v/fs85gngykKxspTi0T1Vp1lSaOdRmcJgEojpL
tOljPlF2Gc6xGArtjW/5XRQXN2EcR/u8+gnNpHoX5VcjQQpeCtH86LGRa1qUY5tEni3Ln5Qz/TlQ
I/PlwM78KBb35LxPuxHHlI9bj/t64K4YjEVsh+yF9N4SBymOR0JZ7xsVs6Xirj7yp7wkU/tRViVD
RoToh7Zb7gOTsPUWsupJcSb9KATTtriD2NtN/L1JoogOOkLgtITr4yZUwUw0iD9R9z0VxilyOU6I
t3ML6QCpoInEQjbVSYrJPdRFeO4zXipxy9a3JPHqiR4+uvaCGzZi8c9D/F1EFMUn2rFYY8pl2kdD
+4s/N9bkZBC+OTsfAjbYDmIfbyoHvu/ooNSjBZih0Ldm7ljnMowNT0UyeTKdr5zs6CKK8TEgeNlX
Y7R4YQcRzWYDzSLnGDd2hfIkyMLxJWAc27cwL9yi8eK9HZqeY1bNmQX1m6bG5UHgPAfJFu6sBWtn
PkYWQi46F6Ck4r1RZl+VoU3nOMPIP8Y59WyOlnMZ5Ne8kBa13hrVqhAoavYFY9J0BlNMPhar78EF
YIRIYBWsR0G0x0ljvy3mPiVspImG+djl5q95Sc3HPkve8eGM9IFmbe+0ciZOY11DbGdvj0J6bzwE
MfHCDzES64gmJbjN1kANojWwX0wjf0ln8E16mAeBIcBrIhB+lXLH3dRNNc4nLbqvTGYQQhb44KSx
Z3dj7juTu3opesLnJClZQiNONyrVCwIPZAxVcQsPlSALWyTbWsdJrlv2V9TGdFTDgphawJyePTo/
IkmaRqFGhDogwCh6IS/mydQ8sW3Okd2l6NwtkiEMjfiAAEz+Fm1/B4lm/BjJYtiHmm1sHQtvmSzm
0GvL6o7mxUVaSLZj1Z7FlOYHdx6f5cKMgqIq9Oyl94YaoGHLrnk3mIppXmWfpdvSFkJr5wFc2eOX
v+hJFl1SXFsbNBh+bxeo0IwOQJVlsy9mRo3bXj6YYuh8VUzUqT3EmKXsNS+ZUMpmQR4iFa7vl379
Fba6UVmpP+h4gKKBbSPZ3L+L7qYIfKBGi1cz3Ns4tgIFXRh7tjgmXrsqh4ePUFhb6Lw1FjUi8/td
o8SEyDx1CAXMXvHfwD9tAzjdSC9B4oDKWVqWL+G84JiNHxpDC8BPZoYflPoA0Xs2IK9yQ0bms6mF
04vZmrQCW4JaTAomj/EQ6TtDaPql3e7TIAxueg37XOXYfiYIXcKTNhSzfaEGqpI8AOZjLXt7kneu
ZocXPf8x6KO9WSSyrSl1w4taDzpu3TsjUw5B8TgmWoWfFdc6vU6xRIiSw9pzI1nxVN7XIgpvzfmH
nRveXNfGJR1w68ukxJMpyVDRGEjd6EVJxDiSWrTkw5PMzUNUJsnNMAm5g8Ffo3mPDh1CqKywUdEZ
0yWwGYmbRaQ/aCAfjPWNl00+7o3BaXYy6acXBw8rOuHlOTXMG+pH7RDlRQO4moNLwb+8Rt3yoi26
u1Gaa1wWh8T7CB10b8bWniBx8QIqFqdkScT4INjlshrGEYMEbiu/Qk9+Y4sm3Ko4la+FGdqeQKt8
nk3cMqXW6l9r9BEA6+x7YHZyz9ad8+TQnzBke4hTdKCGYTLPmJwfJeg2TGK417WECSRNn8cmhCJj
a5JWx5yYZ8NKvlUZrE4qtY5S8nYmlJVCg61/vbzJhkdPTR5Mlhm0JoKf+UDXgF3jh1nWLbNt0eOS
1Ia7eAEIneXuA341hHur341tNjucAuEPBmavmGXNbXmwVPSUj1Nzp6OJ8BiMg9jpRAWA/KKwoMGo
P5Je9l25k0W316iOWc9zaNAGcUub5I3p5ia3OnL/oji65EV2zmJzv2T1g4WDeVM2QkMCaKE6zlr8
oJg7T9mIzwtdi2jG96KULyTZFRc0hqY3MKX3K0lUHP6Iis747fVVp1YlWz1mLJpOY7PTHRH50viG
D45n1YgSPcr0vYmEAI+VXl0Q0B0F9BSvEyYCHJsAFxOftOSC1ocJ/IAxFn6FEBfH3kM9Q0BzGExh
dzL2XT98aXI78bNQ4OV2sXfORjJ5S2k/VnOzDny5hnpSZphSZKcRV8YmFo1+NNxSP4QhQ0JGuDtt
zCi/bTRuGVB8UjZA59J0DUpYQX1Rz5exbJ4hR1NDi+Et69+7nOYNOxYBNSe9naCWI6flDwwGbzvm
eFbpQTU+z4sRfVISr2E1d2Vj3RS2ndyMUd5Qro2mHwjJy6QRqxqLYJ2X4kv06yrjA4oCoLxujjC2
dmOROzftcCgMoQ6yhnrGFXtEFPi24Cq4idCaIL0hE3wNmcopAYXLGk2uY8c2su8ObkHCm/PkQjO2
SDZn0tgaG7SmjafrtkUoI9x+tqAKTgxhSSLvm7MOuMeOG20XRCZB4XMlDkw18c+lyvDdxXlOJ/eD
sPri4soIrgpNrj6p+i1YD8TvwXxexpbh45DsIJGAo00sm30MdkE7nO4yWbh7l9yqfPjVdnpyny7a
YyYZ4BMhoO3mNIIEiVK3wrwJmMvCfjstyVYlC6ZMt9wrZjiQeHu8lXmJbA8CITyz5sWJx2+j9jrh
bA9BqNAinrc1mtYv6Trw4Dl+5C5wCMCiMrSa4Lkat43haYVSh1bws2YojRsTv44Tf4l72ozccngS
eSSXM6wLxjrLXowVcIPunYiw08RKPM35nUb/e8POj7ZT45daBrDAKWy60AxIWhs8+EJ6HUhwembB
g0LbsLr4NjbIuG0wIS6ap9Dvu+pWqJ4xDbUTDiq5TaT1hZLaM2N7vOkLKN+4bv0ZMBZtmOw7Ae9F
/70KG7UdaMYwq/0aKpxHU5AhxkqfGlojG8THb/2IgntgGTiOmcMcFn8fJTF4hXYG1qkFlG0mAbh6
FaOLV/t05fnpC/490NPuZkp7DPUglg7Q/WIg7Dt9WnB66IOHFmYADlnT3fCqjKUZJ9/TuCBC7/Jd
GqJKkaIccBFLsZ1U3u3Gev6oRjHRviWLDMRsMjYRA7c2AFyS+FCC6NIAvJnTEn6CjmxM+DUQRNjp
7T6JITTSYa1IT0SAZU7EiE3adhm1N4mbPrbnd/b20MNqZx+1bLez6YjXfMDglGZeX5gNSX7tc8QG
jrKCZHjK9mFA8hZG1XfDFmdlkzs2s8jRgIkusLETLAr7RBDD2dZRvmsS91S49rkpGdwtIbS0SWMA
vnOXSm0B4WyUypHAqZrT3qfEI+bB/YgrFDFBsk26bCR/ggl6Qud/w+p1J8L9pPCeNyn4IbnvI3WT
rc0gtzLfodpe6hnpMlkMN42W/TCL+eyGN7O9BvQimuSiL6gU+vS2C5uO5bpBHhN8T53s0VY5rFJM
0UP13NFvAE9Bk6N22aTL4rZJsacAkUPrxoMPexkW24zbZayTH2lnevic6U30z1FXxht6iYSdBACt
Q8092vCXvG9tmRcPueMeIh4FK0KXR9/aDdQHc9g3VfSlajDCzYHVXBgBckvgn/HmpflGcbTCDayU
lFr32Y51lk6j2F/JRu2KNxrWRHqnCGCvAm7ETMOX129cf+T65e8PawRiDLh2DehcPx2DYdc51vtv
SNI1vun6gy7jw79+5vr1XANS5il0vn5FeAMLHpmZru9OOhT89cs/ftX60iMsWsJooyA4GLBq+nLE
mF3n/Cn+/ZXNrjJRXK9H/NfLzu0aQymKzfUfr8d5/ez3//z9Q3+8SuiaXwpYUz5JbRi2r4eBp0+n
kEeg+6///un4/njJTz/z6cR9PjW/X2d9i2FfPLstzag5vIQW23XZ6fnRatvhjqkw6kvUAaOa3t2s
P1Cr9vtJw9tUORHcy0b1+3mgs7/oJTYxnmh+0spsGxrDeC8cCvwkH9/yqPejNH4f0uKSNbRB28oi
AKzzG5kKj5ihl7GbbC713tnpXdqBywu7nTENr2EEvFXlGerfMTi2XVSwtEnSZfMatHtatRtDDPdA
GEkFRYR6bILo1DpVcVMye7dVdWM7eX4vsI3ZgAoIu4Ck4bbRDkEUSCZT/9VGbviY6N+bkZxWMyUR
t2gkwGdXTr5zhIlPQTIt74RRPaRTBCJz2Bo6iYl2XG5run0eHGcibLLpkgHoPmZGiVtjJC6G4IZm
XucQsHa2znTTRSuxMdMP5bCobY0S2yPOo9/bCoK5tJ8CrhVE9xO5LUm5a+UQ7R3tvsdh6PGuvULA
lRgrxYBcHEJL0x7DXcOObRsCXtvWpJYw7eKktQF6sKkHvCWz+0z/AkuWnOBF/XAGaIKdAGjVEqdp
j0ebSwfG1EdGzWYKzkYXjT5BffVuRTQwcusuCCcErAEt3hNk0lxoTFD3DARt5NptPtXuneYc63y8
0Nd41w2QynrvhakzYe9iHxSNpHar7jkRgXMTubkfN5w9+NZfK8O9t5gm7ZvEoJOba/4wdj3B31Bn
AlTR9GjTh0ogKVQgJ0kinO9lxgNVgo6ITFBuNkzHwsqOwP2ZY4lXc0B3hKEEpaZKS46WdrpI2puG
HfWdU45+WAMfDOIbOQtrY3DVb6bSqfdBLqdT2KYeunfiZ5V7NHmA+nE1Bdhk9OfURCXlLBrop7xc
I52Z5KxgNmA+G4PeA5nQDmERaCPtuTk6RHUDoEQZsQJjC7gWec8aSMj2gLZMI39prRdtzR6wCxkk
vJqY+60ljA+VEX+kU4EKTBcfwZxE+2lG2mZ0tnMLSH5rDBwxOpPFM1WMG72v7nlr7SVfw0uZK99q
iU5DQ/1sMwQuWgBgxIx7Y5tYVn/osVRmI1FWZNQCHeXM1PijkaUWLheWU4er5vRD6q1+5D9Fm27K
Uy/vy91M3gQa8/HcqO/J8qVZFhwrC4TKGKHYvFI742a3hB3Lqbm8W0RQAJoe77IieML9+MEUSTYK
A5lCe2ZppyDqOMg8Cw6DcrRtJFe4UwgY0A0sEjIQfWHrLd+mvuDSF7FDzUx6VdjVdyIx+7VzBIQj
TXF0lbuoYSKgW4qFuHF5ctXNGRKKsUuW7xhtHPITdgKG5KZBxunrmXo1W8TWEwo41k351MI7XccD
cz9OrNoAF0TcPqUgES3rO4zFgK6pdt8s6FqiHEOcEgWYjhl8ra5P3S4OhzsCwxDQmfA2HL0yDmja
vhW94qEhUVgaVphvVIxmxBxzDJRV90aez7lTxrTvxfKhEwdFyfzFrMZ9/KsPVuTjZOPQdltkncYv
LsBxO8KJZwAjXww1+oBg4H90Em6epmbfFSaRD8t8CITJBYgUJcpg/gga/GyTow2ON9pzZpbvsu/U
GBPhPucyk6cFbfc27lxvWofPodk8ugVRiDwwiO9FJZzGL64usPaDX2h10jKgA1xI5NwPi3kypUsX
VQ5Ha46f8GAAfAZW4ing2sxzZL5vPizAA3YJ+AqZEnbWxCy3JAGoXZ8PTwltC1Env3LNeXA6nQst
kBM+ebmLH9u8rvGotmtGWfaQp/lltkx9x7BAKOOjEyv8qCMII6xf3TmHiRSiBujH/KnCq79P8sTx
tJEeOLkY9m5aKvINtcxX2Iu8XGSwzmgmGN3ONvg16dyW9yjWEKyTgqEnLxDGmE6I8T1ANkGcN+zT
GWGs5yzhS5LKn2Y9B367tp6WxT4lBSVFm5nqUXQRHmgAEWO9s2olblrugKjRvrcJz4dRvYEpYsMC
AB57GDHClvWCfYjoo2+zriMLNUHzdPl8DFvtXq/jek863WlJA1pzi6q3gWJ2Bvi7h5pGiNMKAKn1
/KtNoVd3uumbPZz5NqBdNk7207KMB2LgbHwuzppzhuoFvWUJOncLUpj9bM6ctEymA7F2HpCnjA19
QKZLBIZLdMOhz8pL3Fvfehq4vtvh7oX6SVP0bTC6+Ey+9U974md7AKSYeglKC9xtWyHIX0b6wk7M
lQnDe945ZoHFxBDVITd9G0YkWWCz7o99W6DXJZYGNfYSRCVGAb92Ktp5GA9uxgD8rTGWACjq7tG0
6WnUMntqiRWyNfiwPD3ZqsY9LXYiy8DTnpto3eK1rXnqyu6pctnXOz144b6yhp2wB0B8koqfpeoE
32H1wc/sBxs02UmhPE0fsgORV7hhF/yk7HooRXgsj0y2l5Yw4LCT/Vanm7hZO1QjAADfLVk49QgW
U5IfynA4VgWmiCnf8OC0sx4yRYoQz0rj54BG5rYwYWCZ8XRvyvmpKAaawhCi/VKnm8fje7SHrVYP
6VaF4qS1YFAGTPiN7XYwaSQM1wGbxHqTkpWc7fiNc5CAscGpQr8Nv6MTwtqOck4sJvze0KhpZjNG
xh7i57TogNCsaBjDbIgKGW/q8CcZANJbGuXsEozCO3pCjwnKc0h2mPfV9GUpRfFBXzyrI3JMDKAg
CwPaV4zsr72EhZEkANrIpTnDBA23BYnQpBtt6wZ5dOAud1nHU8fW1Jmb6MMqQ4e5SAoCmdT1TS3M
W23MoVNCINtOg/kGf813TuGSywO7HRp1bfUtb6dpZ5bVbUys1W2t7CM0rgEEtIuJCCTA0a6F74AG
Idvk5LFxsz1gn+rsmvhZo9w9zPr8OAV71HParm2aPfy7ge0MSOj4m8keYZPv4grySG701QqxRdXs
IssXfbXNKvlSu+PjXLYvNa5lnPn2a19BP9WWu14GIOjN7qLjPdrIvLsg4TvrobjX2oYzMEIq6SKo
3WivGbjfJtaQc7PXgees/c62fQWlMfFkU56cIHHxJNG9mv0Y1wia9m5asAAhWlNGMZyMEKpB98Sc
INk6mpt79P0fF+O+a6AISQPFU925QErnwBtWzkJPZMWiNTfoA+VumAZKLhdHmWXXt4EOp97KCTg0
BnqfJf1IJu+Gdjd17pe8/S/2L61bmtJFbIe7pKKbcgUC01djvE7Y0EpKYbC0ZibmmlaxxFbiOTSZ
UfWhtpJUE5OJDJyVbiVx97IEdIziHm8skPEr0PP6QYUkvxPKc0pXSM71gx0spRcpQUDCavtX64cW
nrRadHFoC60ALNm/ofQDQrcCWscMDFfXVYbXjW18Hu3nLoZPDMVx+Yo6d5eKXh3wgE6nampQoIny
JtD05nT9oOnuX5+xXJGvTkNoe/23FHncVCckjiXN6UpWjtfPgm5kiGqMYbcvISXIlbYc0pY6AR7m
Hf7ra9HnyptDCDhhrkR/tvok2AxVJ+j8EJpLJjeQ4Zj9w0aMHebGzglfzTQLdrSEZjCMx+vvLEQE
cfRfvz6m+9bmgXtIcnsN3QLstbKSG79ftC9yJT60Xxk0N6do/f71hybS6HeTqaEsEJj6t12rOejq
x3xDuh14MPYfodIxdRsNY3TCvlgV6UY0A3wSLQLMJ2KSKGqQAkXMxVjoA+niBWUFV8BQ0VvkQ9rm
2Wm5vWJPc2BZZDm7dF6qgDgBAsD3tIMOv7+57t/5QzIonL4vjoDUfaW41p2A1dTlvBOG3Q/Tuv+8
fkhYKrDfSIZAjQYKOIYHnCeJh9r3NrFzNKhVl3hUcbDlQqBmV7JZqq351YzLu0OTLB7JEpioZ6rt
UXPMr6m1dEcnTg9oua2TSsP32ibKTBRcv12Xry7t7nT9QD8bqo6iVB5rtZ2zwKGj0f31zetn2fpl
41RMUjo3Qo3N0JPcUxbxtbemhukFiyijnBrn9drBMSMy6YnLs8VMK637yhr3lSfgD/BGCKBWegf5
n0z7kQukakPe5K+w5J+XYXzInHMa6C8yA6pHX4Mur/6ysK/dIFm9NyfxapjGi4XZA7cg7Lncfgzi
wZ+XCXCf2R+piX+WIXXzNxx8b3XOOBQCFuy8orhT2viAAvOlHcYNcp3nyaYCUcM7sC9+t1F3nlZ/
V1K+I758mBqbzWal40OckYo5xZmII55JIy1z0xT5WXQI2CnNCLxqGfXllIw8lYD8qfkGJhWbuvWf
/vWhpR/F0KGPjsXc4Yrkm5kCNawl7NnX73360ThbL77rS16/rfed2jWTfP30c4NLoODv17v+3NJa
jq/X8lKmkM+R4xaHcAZJyqjhV22NoKjWBDCXoA6GeF5DtwlGj/asqAA2Knc7CPW652hnqGDOuek1
ZKeZTiJMbm+ZCz5orXMXNPYGkYW5aWtBhmLIHyQfgSIOwSMsP8Y4luYTXsEeVufpJvhW6zDaGOKa
sTFQ8S/ccob+qx/K7q4CRlsAHbHK5kJAV3Bjq5MEKek5mGlnd0geRV4mVPQUN0WJ98+ekjOs4OnW
iritmrV3F2arX6rqvtfIPIFXqFONc5NGgol3qH5i26+o6eq9ZQE7sTrdN9EoE/9TwJHtjS9GUk8H
0nYousnKUg41xsxyvRf2rWjcA5SM9n4ik6ZudXI5A/PYWJGCOOk2+wRIfcSWhVIRxXWEyHxPJ5K9
fmf8UgruIQmQXpsySUpE8kZwOS0auewUa/48vuqGA6m6TN+NOOt8QqB/tJlzUXb7ABLn3u7CD2kV
+lmPNDzXNxVL+TMo7r2ettYxccR21Cl+53bfWc5wZDv7nGOYZjbMoM7I54+ydV5qU4R+rdHcb0t1
y93xHLsRegMjxOYlHAJlou9JO77xtOctApUXJnuJKHqSGM8IQK165v1LNi3bHFC8342VP5T1yMxl
6fdIvn5qH+yzRpI17CfDDrE9xaHy8E6QVGh0J0vOcIY7CGp2qH5V5Rjs2+UCDgjZWiNOzDFzF7JM
2wS+lS5fJJuV3DIN/KevwpY/VAGQnDyvZMtcbd6tWuiOaexExs5WBPGqparibc8QqSd6ch83+T2t
XqpcNufEtY6aeejb/qaYCCWxtIJHhBy2Uo9JKzG+KRHdj+EAmBHke8aGcgTRTpZaCMrRrWldp54F
QFMjBH7hd6c2SUl42AXDqxQliUkOLA2kCXAEQ+CiiT40sZh0F7RzAUl5cfoLfLGvMqVcjcR4TyrB
Q2PTq+isR30cXqP/y96ZLEeOZFn2X3KPbCigmES6emGz0QYaB6c7fQNx0umYR8Wk+Po6sMhqqYxe
1A/0IihBFw5GA6D69L17z82HH8B8L54zHVJ69k5aAwPVxU/fQ382D/XKNngs5FidyXD6xdXPcIdE
T24ef1JrzWunjI+Wzs4s9AsP5rerqjPMsq9JyK+ekTwL9K8JS3JKrCOzk/42l0W7Fp3qsORZZ6/Q
H4Xy/9QIzWuEBEHbQoHsxM1Wv9HAfAyCuM3XrlfA3JaFcm6qT22C1Zrir8kn9sULHTJNpvRKwtV7
Ni+tAIuZhVqSR6yJMxG5ZconnJOsGd3As0Pg/s59mWzhCtJkr+yrjsy3zifYOkUnTB/e3MGYKhks
jGBRRIRjcMpOtt++CB/Xg2KaSOukgDUJPRmtziID9Kj1zHVglhazW/wCuTWfoboypOeFZ8qsN6Yc
X9Omq/flXDLqb05x3713uVky+v+eQEva9myrhSho9g1hcGqBcWfAnzrDeYwnu9mL0qIN2tCjQEMu
ypEkUTFd7QFPHgKDVGPPHdrm7E4MNjhcP8aRxa7+WC+2Idl8a2nyupFz7jS9K29ZszDsrkhIOoJ0
WLnMpGityc/RRIZjpc1GQ77dWFFP7Yvj3Ffp80gOVkPndSJOPe0rJiAGrV+cPKxW3IDgLmj/Fc2B
IK4DT+miEz6mo3rqbeNXGPjPvMOaSoS9fYAbyNJT1FtDY1aHsW703WOfhQ9V5BwqsKrFaG2rYnyj
wWR75h/Ez2UfMCHwsmfSXV6Gbv5ejzXlmCCtJynObc4AxODyDHClIJr8mETyiTAky+0nmMQpLdDg
QzimWicDoQ3xaO/IpUBR4wzrukzUnkxDVK4KKcmvCC0d6djhz3kkh0/wOnKeyti4OSGcR3NGUMO8
src/aE2cZgefkgzrz66bvkv6OikwZk4ZX3WPDK11wS6lnoP/U73FifuNqQVNtJ4OcpKPXx0+6NUg
/CczifZ98x6a4QQR1byahXFJxfzpJ8HbFDEKZVKIIG4bdg6xXmH5ZrTstlVQf0ZxSisQkLiBIWgH
N0zsFI39tQ44nkr1g2GSXI+pXxPTZGHzGgZ0bZZJ9TDpo2UNv8OO8wuZdreWFMNVGBcmWeYmzfLy
j0lblM11eIrakIcSNYFOmx3HZKL5Po0E21GfwQOzuu4kFnY+k3v6R8VL0ZLmXDaI2gCLwsoYKIGL
4ZeOvOSSBO33qCRAxFVm8BjRTV0xS/4QDAUOuJ+SbVJUxTFmLZEGgwiECcXGwOm2mQ3ezxSQFGpQ
WqCzZZ+rmT6r6elmM8QmTmFk9GYdPkS+c/UnV740+sUm7zFIK+QVAjWeE3Ypcwp3y1+J7mdpL/We
+xlS1JyamYDcasQr0ofjfu6j5mBzENt64BBXObknMI2Qr8OrwdtrmoLxs/qTifGQB8iekqxgfbWs
euOhZYRPibSq7IvuIel8uZv8ugFKHryGRB2/dGlGC0WqYU+5mWyDvqcB3WXJCaDnU8M87xzIzju7
CdhPvCUxQjGnOgsQB5tIWJfAyj8i+I3nEB/FcWImNgZec+6XDz7BGttJcHnx7rkP1uI70VMOHpIW
uVnPJRQCDohZtnSWlmyDxcMOUlW/anz5B/pnj26Keu7+we9hRFqksTdOsM8cTz8kykYTRFs/ckeH
0ppNFGB+gRxB0R9jK7nePwiNcs8IUJrL+eYzuHcB7S2uRESfK9EFpCGBys/dCWdhWgB9QPVrNZU8
T2yG6zqEpCurSZNQpMwXatXhxTvWsTm/+AumHfyIdXL7ylqFHdOvoRjb105MxQ5XBFVimlp7P+WW
izrHeLKrb1FfedDX+MSNhN6JZYZfLVlK0hkljwGSAmmh6M4IZr/Gc8y+6lLN1Cak0qDj7XGtUp7j
ofxSEmiIbbXuOZ9xVglCYV0mdATcq3ltxoh/vNC+Bt6EbK4nJfSe8JvTCV5Lb5TbebS6PeBjeq7p
7K7GoZWUlgbD9aLjpw0MhueKKb826bl0wXXy96Nd65cMWKCVdgfNpv6YpY3YyEFUyPAgubqjy8/c
h0kizpFmi1MWpm8OoDUXeTJw5vUcGeL5CP/TPIQD6bABFqOYciJPRXrqJ0DUrXsgdOm5m8FNZonY
xYvPEhMdQ4zZuEyt0xOCvcQJ9CjvkMd0Gx4zyZIaHowpnblJG41gdNs17EyJ4pttWPMub9m+dmnE
GzV9RaUIcRsH1BeIBzBRyocwQVCpbEWt6D1EubxVQ3oUNP6ooAzAYdabb3L2uBt6+1omazNSQAw4
+QFVwp/HBrqVQBSEjPQR+8ElWkLq4nTKIbu0j/Usz7MqSqI72vdsMH4HcpRoSYtVHy3yFpIccPjy
RqDX4egaZqe8xHxMEVislhA9xu8fUuvrPJQvVTlkzDyncFWpiCw6aji7YtssMbUknrF12ijZ+tAj
V/kg/2Th2B46unlInKYricmn5b8Z0tM59aC5NkHzPUYkxlgzBkNPHLv1WutEk3RvcPpk/bdrwpB0
/G7k1XMFxmASUYiQhTDVTBOZk1CmSGZnmyRhqZaVtDYIoNaGLmfmxr3cDH70kadQmgKb9IREV/Ml
TT7z0gmOHPZpoLoKJmur670skWEmIZZiw3UuWdlwIm6xZEcBTTDSW2m8koNkp93SaxasoCYzMvc7
Lpn01kXjjyak/Ij7HkINB7Z5BFmcqmI7FPKkQS4t2/aE4XhcuaKrDlFmR1QzXXywoWOv0sLEDllE
O6sZwwfbzRd8Sd49Q4Q4pPJ3CMyUGhzF9cRo9RSm8a13BuMYMpPuAKWtGfTjU4rFSaUTGad+hAAr
H4A70CNc7nFz29u0hucga066E7umZMPQk3+M+7o9mpivUkcy7Bnmp1zkt7gp3EMZqAXOIZJz6dQk
+k3eI/vhN3Oq33mEzGNsoPX055YwOEiyiDuNR8sCB8kUau/23UeZpoSUOckzquLFbTKddSovbp/4
nIKpL1Q5vrVklMwuMBPNzGNyac6CIudndcPaTZmQzCDih5aMzNo5KxP7gKw5UVnE1a2YIodYKdMH
7q+EXl59c9qZqLIe8w8Ulo0PxLefkdJET2U9SPzjzsmvjbWDaJmphPM9RxFhO0CB6Mti6C7lh5iF
QQKgTw+dicQ2mYhyDrqPuzX+/o4VZTcQ0PVImJ0KFbZQYO7OwTTp2tW+d1K8tZuyrdSmkpSIuSCG
OKOyQmGO+xOFCH1gmhS+TM8qcJ6GngyWuwf4bvYzR2I5XG7wdeiQxOU5znxwUPRfa/l8/6q2a1Fo
BnhawRQg9i6pQYaYQACoAAEXPUw4TCNEsHyiCN2AuLeSqiD1r8JW1SZoQADJMr14JnOTxl2I/j4I
ScRxYE2UzfeCF+gI2lmsmWZkfES6eOWsz8xsXhL8wlMmMopN3DRV9hGPkXkQLs1gNYtt5iQfpUTE
iqQFHP3itRcDDFNywVgakDARpbYGA8u5k+CdfbxldYjXxYISwACOSROZniEdPAs/7XrE5o1sdFtp
cDkhA06/xDwXee85zbg1J8zXVPIjc7se1lETHnObdxxd1EOB0WqlcMD2LprZJH+VzcSvzrAa0zM5
yHq49TYVV6749jhk+h229VYRmACZnK/0Mg609yU1c5piHcnwPR3C14g02U3MDAn5GqfdXuebMTD+
2MMQrIumLNbDzIQmw0DdYg1BZ7WekRgZjfWb9XSxsGU3UdOLs8bSXgmf35E16SaOkUKMVrVJYJAl
jv3LE6xHmdleq5iK2oREFFms8zHzY+SMPAsOqCvJRbKc54abRPOqfGW8Tjme8jrV713PWYxcE3ar
hIst4UPHOqUwMlCZKbVZ3hmGkQQh+xR3pMAl6wmFBw3OvYe40C5yf9OL+OO+n8yNd8yj8qjT22A5
n3HN0aEO+JZ7+6610QTxpRO15FQOP+KZaycqQkGrqsQOjQiFoLLsaqWPUhCK6tZTcUqDVBxaDASq
J3O2iDnk+hblvE9g6Dc37ojZEfLQmOZ1Vq66tE3fXSpm7gUz06OXldNxqYHdfGxuuc2imWj53kej
vA2UkeZktRj+8q1hW8Mt65YJz7xh1lbCo5nSQ9m77ypq89P9gzH0P+PYiB40eeLbvErORtSbQLs1
8mrBIeRUzt73eDSQzzqQpfRkJodwxgnOOvrMsH3Yz5YJWKoD3Tw7zgko4gkxCvXQpDY1R3xgms3P
gHCldaPEU9xziwIC2o4um+RyU5kL1iHu5Q/DY5iYdsv7R3vtwdE40yQhz5ImKH/lmbBNhj3Bfjnz
66nzyPPjONn5B6/JAwhLzFjRIjC4a8xNPprtUWc4nu6yW9EP9lpY0BF6rh6FwbAKKBPG5aRmtRbR
XwxguorRHw9idKzM5Ec6oATNPNwM1I9PTlZfvSnCUjZvWtw9qvBQm7YJ99JoXCsqGSQOFE25m73I
zimR4XzhsPM3ro0AW3BaX5FzyYPV1BpgaLNtRvetq8lmZkY+7yLUPaVq3loq43UzsQbdFyLaKxVw
BaL2QC4ma8hThFPYH3O5nEZ78G5GkjxCNOfnMpdgdk9xC4kKDOkKZcSx8Jj601kjqaZ4LEyQJWOo
m4MJJYJKEb0I+TB7psDUewGrca+G7wJgYBlSlkm4MJT6jIw7QqRzAO3AzFbVwKZ6f59c9wdMdcTK
As+8hWPo/oLrmYzpiGrLHKNvM4XghtKVvR4GiigIlGCIvou5BRCmiC/yIifS2lggKokbq0cs4Y8h
RetEIxNXHR0FntXEdLAnlik9AxYsS7DUZMh9uo4MAno9AyJRZqbesSINc5PU8UPrxR+L+b9T+UdR
cjchpEXsLYyNBZd6bfrDSyS6N+jJVBIVJJV/3YJmy9A7xfMdyf6VuLWMFSvTrI/lri2baxZo9kf/
CGvpBy56BRMcIxpUCMoSvqgi7lUXDkffEOI5vbUvEwM73TKfyCOW/PBazJo12R0vtK41SeBVsE5Q
fjoRIhP0AYrMroB3AKuLKJ45x1+NCIOgJxDMLevVQMI8ogg0+6zPSnPgy/hyYi2JOG9YxTwr/QiU
vtxb6thIYDRxikcmQQi1m+oNYY1nb+lTsrTPu7BeKBdZcau9/pKwyECH+uhE32Aj5q+pzWJLGDWz
fjhUoYo3Du1zwhG5jn+tif34YBBCtIOW/kG4bLxubMwyOaGL1mCfcrCenTMG63ziaff1I2eS+Now
hSKCrdffhyEmUxpVwS73Iv29wHNojv7Szui/Eho6h2ZyzJtfmV/TRChhZf2kUYHiuZzncyLd9ODY
c7uOMKtvDBpUlWnmD1VTgdGz+os9Dcdi4PAH39a6DNQ4RT6jswZTvQ/cgOckhJBSIt9E28/tXIM8
IDEh5weO+SZpFWm0RvnhlAKAB8RFZtDhayv6zy7Q3yyrvMAUuI4VOJCwJR0J0zthQvJI75tDTi8Y
69FnHpe7xzEbFimqRHNZCaYgY5tlUbFJUOeR4omTkf9z7vWDl+NzdmX2fVkPeU5QHXjbOk4+Yi98
rbIG6pf80en49xL2HY8lq1rq9Cu6GmtEM5B5Xe+loby2RzqEdrJ09nPKXfCfJCxN/CIFfm01O4sV
sqgfI9JGsPpye0OXB8JCk2fWNN9MVuQgb5NN7h3uG3bI2da0TpjmQO1GTr5JGXj06Wk4Wa3/UZv+
MZMB7kDrGIsEe1ZXf4ZkW0HPAdTTO6+Tz5xcFmv8zGVQ6FXZsERrxLwzgLmVP3BrSwYpbH7ph4uZ
ehXNwWF5dq2UNJ6ClzMZ/uvUsdy1ZpqtDKO79ia1Yr+UE5Md7mSDW9mvHsOah8EscUsrWt1OJK8V
OjzgrnxdO+DSTl392PjGSz9Ig3E89jeqiHoOrtbiDdYzG4HtYd/sSOYeiDqSk3dtMm7/O4jq/rhE
aUAkVHkx0E7TW+T6RpgQ+j4lTrBmWQoRx2PYeHOXf+Z5mFZDa28wlrA64K/dFIA/KhEQECOvRpPz
LkgPtGJkhn8Sou33y7/DRCbGoil8YoaRCiEZasOGKymZmOqLHEm0uv+u5WsVCxx4pFW1QOjvx53a
M621ZfMk9ckFR9TSpWfTiUuVrXybgGSLdkhpMC1xWWzrnpvCx9OUuy0Xr2AP64v8wyrshzbzsY8t
nKw0KQ+5R0eRPFwEdi5/9hykequLk0PuziZezvaFMV+yyvl0ak4qhM0h7acF7cV1sM8N091S+bwN
Qbg1Wg533P2rPMcycLfm+l3IAN1aOoWkhIUZefCKo3iRUyJ4frDxgB8x3MGQYYz2S2M5yQp5m8su
3i7tihiBG0eBZdvk5iD5pJ33WDSM7dzgPstwbZTNz4ort02z4JvCWCMS4ylRAJSSImBqKnuOjJC3
wlaae9HAzwyVepFj/9Ytp6y89U7dYGscFGzTvsm4PB5vKd5ukuCSj9HioW8lHP1g5sSWUdY2uDgw
ILWHCIk/GssZSclM0sn9fhzvfKRqkLzaP/e1Gy8djQaBgn2qDkNXaupGLtlk2y9+U6dXT8uvvPgA
Yzb9YAwK/fuMiw4hfo6mFyfz0c4S/dCINsP9TC6m46X1GllD9pjSeyBKEUA9Vxt0UUFagKj8F8Y5
63KMrQ0/gmDYRZSI+07wBB1lmm/HYPqW9TreBG2GCEcrRvwmeFOah+MGSc/WHEV4MWZWLMvTr76N
JoqHH7fGwGilCebDoNRN8BpPqYeQTTvtUSZjs2v1o6LjRTr5dz8N34JStCR+tDt0OO4e8Cz6tRqe
BswIkSQkxgpyHDu7Z4+NKIAwN1RrPy7n3dR0N7BHmFo0KeXCRnlTsXxjpBkQ9Vl9elGc4Nc2TbzS
MMsF7t8+zwg4e/QkfyF9/j+d8H+gE1q8+7AQ/tf/+d9/wfn/HzrhJfkERferhEVYwqfVx9//8Y9/
fdN/wQmtf0pBESmgnDjM3xa6+viluv/4B5HP/wRPJAJSphbyDJjS/wsnlP4/hR+YFhu17Zr2nZfz
LzihFP90A7DJHowvD3u35/zjv17e7S8Egfrb5/+Gnlt+yX9HFQBSFLYtbc8Fcialaf+NJNUsmK4m
V+JkhOKla5vqQmXkPFS2s6vG4GMSDNHNHvCXl3cwlawEzFRDBHowi+v9s56n7aHIgyc8BZL81uIH
brTxdP/MmXKB1ACdIK2RT1mYX6Wlnjg20lYuEffPos43WRkmD9bobnkci1OUoWJVDQW+AeCKXj3d
ebspm+dpGt7rnCmw5w7PqlXRo9WipcHFa+ORMNWD5fkT3dDikff6pjpjegbrnexccEycI0hCXLU9
CaEdIlSIZOpRWp2LSG1fWFH0JBw8slrjo0wc1cEHG+NfkJsOxTSMO1T14E4mUb40iB7xFvm4nCf6
TR3GnFXg2fKJUSHmtNC9DaFlvBDU98t2lPk0DbI9JY7Bi24+3SoaX7xCMmRJ836TIiSuGkv/jEzC
8YI+YeFDu4fCDwShtKZTZ7FDY4N1UWqZwwspLAdMY8HZ7xHb5HFWHMPBmKlh6BUjhPGuvh6IH2OW
t5Yijc++HGC7OqRUcOeKzhiuVT9hl43KL43e6NyPKnjxZ4b39PH2w4AUSGWp+VhZ5JzhjCsYGTKd
jRgpn93OfXFpLmKZX6ydrigfSd/DbVa456kj9UYlpHSr6aGMbQf36uAjNY3DK2jpwYjaW2L9IbGG
/SvAVrixDFut+euOph+5N3fmssRO9AQSObsU3vA8h6b37EDaI9a9u8ommjjm060wRsd54pDNsDNN
L3Fn/Mw16XNdFzSnUCOMzpu3qOgqpnIzyn+zfh6RVa4dr6JTNWT+acrQVFiTZxHME6kDUJGtn1oZ
GiNT3NDpInsH2LT3ysUVaT8iTh0f/tsC8a8n8N+euL/hSmBg8ZwBJEUXZjmO9fcHzlc9Zt92blEQ
UvkNITpSSomz3U3VisPnRZlIlBw7eeniSByZ0L6jdFMbdNFIlKMi/B/gLpaw/oZ3WahcphCeRH6D
x5iV4N/BV0ZCZ83AOIurLMZDlBXpzqEDzIkA7WZWUPQPGS3SRmVrv3d/FsI0nsLaObUDcZGB3X6v
0oaUXBIRurwg5zsHJZ9AiPk5yvHsEuJbyGJ897huK2Wn0WvwWQeO3kg8xqehT4u1cHzaVyJzOa9g
2qabsuo7BKBDx3eAAru4yCiaKtA7oKd6E7ngrKOASI0ISOPRrjkkSM+gtYHq/9EjPGHoiwPBZ96x
GTiZljU8AunCY7AXhTLa87SNpqukqwIL48MYZmdjhoa3d4340so5fY1I7tEi9k5eCMfAR4u4zTJh
HwFsgdoR0QV8YrYm24Skd3LhCbspXyxt/ByDSD/7rc1YxHxD0klEmK1grhryhoZuj+sLuymhbrsA
5W+Hg/0VHV+VlTBJJzzh0fg81VZ6iBH5MSDMJcCd6SgMD7rK+KcgI33fpP03gTTu7BPPw3EUZJEK
4is6Zx5jfNjkdadnWjnB1i7ei6JDgYZVaYttudt0hfhFEB44nnJ295CqvnsusQoaMApyhWaDFig/
Gt2Ak7Tu6Ml28cYoFDGCc3GSKGLXjBkwumFBfyq9fqusEm41s41YV+3Wz/QWjTYt6WaczhNg/y0O
AiCLfdMfUk8sPY3fTAaqNemnxpoB5loI4IhW4aFRNLxzjF7sNJDu7HtKneKMwAa8mkfwBsW679p3
D3sCGHYa4XnkugwAFmtaN9PgN7JxU/f80HR5RlrHOMwmNbsKOYLHNEWI09h1HIgScgKC6oRvjnBa
ZYVIZKHiBTUxQcptVjKW8kQcxit/0yPDhhfpDhTUMhkuSrjgVEgmz/tJXIHW85KQ4XrAiA5dTNmY
BjLZ0RNJ9sJ6GxrtrEnmFWtTh97OwzHB0SNdW1XQnWLQ+5VvB2cn9J5i0KG7dGTeCqfQWzWIRYgy
Sh5bQTBB538DpimPeQAXjSj2X3jnE5J2UPTUgqbOyHQ5C1+M3gAbQJIbun6OrUWQPS+EAwDsnEYr
fO7TQIPWbsW67/1hP8mGIl29KibHzz6p3B5FLvoPQ190RJAnWSdHmij9aqqdFxst0+Pc72qgQgws
rU+a3PV6mvk7syR8taX3Vjlkphu0fFviKLZNWlVn3W5qhOVCNdMtl74iK7u81mlrAA81A2zjyZsl
SihFqII5HiF6SVNi5ryYlEoCPfH/tPWu6kSwjVWBuGVIyr20qAVwVkL+CbMdSegx3hMWBWa0L3R5
20NjKAPj9BM1CWFsuKw2ATbOrdZTsPUVw/BBf8i6bw/Sjm5pCyesa3DjJi2ifYZp+0bmP4NFnnZf
eRr8wgtQfcshmWxdp33Dj/1N9Q5j/BoW/gQPdjMu7wNUhZOZGtMmq+iR5bOFH+HV63+0nPhRPtw6
0wgogSZvFfVo/iabrmPg0kd1LfS+ZnKuYqyfMT3P/VjLTzya8mp/FrNVLYbwTd+MO+mIP4CFuBcV
8EQV/4aY7WJO4mEEk3aL8VqLkthzGznBvk/i9X2NqzPElq2kyFB4g+pp6JgEJgdAg8aC/WxQebY/
q3FMD/cpgkr2HFt/1kXVMFLFgwpfHR3yAI1IpxDstWMf0+XJtaR+0Bbhv/WSZ0yTaecUz05oE8Vh
KhLPJ+fajaW3uz+RxMmR4BZXV8+jt6ooqFrlEQLU9tdqruqnoaUHL+f2XOtac6jUzZaNw23536/C
8tUVC+NO0J6GSVRfIeT4N9Lcg5vv63ZdR6NayZHu5mD3Z91vGl4bOQmc7N3G/UnHF1JHaGfPrjZO
Epr8KY8oYaskPnYBDWqvgIPXGIjVhYtCJbeZgdZYsfLZOzcV/cbE2ngp3XoySKwLvkjJHBEtKIqo
+JT5Kark2TyV2ejsdO/9GUeePxwBM85azOVDaX+hAUgP2eQ39AYm4s2DyNs5I19BVRKi6XFKSFK0
t+w++p0FpJw3qBBWYVW9myG8WrwhT7D3u1PJYnJtc+QfCQr8RWorzpwejrkEytfhkhCqC7Zl1NU7
hrTXqryCxCUWgyBLpjwP2MXCLVFM1amTUu5cO/9F8oreSRflZD970Q2j60UnJgVZ7qozvaqRWVzH
ZvRYxhPhywpVqsYkBkScg/BsM24vC11tK1FfR8aRFx8U7FpF46++YybfdDyEmM6sLT0qDWiyO7us
aTt/IL7U4R1bmwMwKxVCdC3IiaW5PGHOtD3+NoOHURoNsEEkzmsjpTtDtuJwNtLxyagSb3P/bER8
j7ikTvZsNeWmY4t9ycnKc+Aawlwckn2JEH4o7u0plKQmw7utiKZjSorVE2M2xzT3tu+H32nVYpYY
QKJ3k/mIwGlcQYcLGL/5v0Cu5NtBR/221RxLBlBpa2A833T7s2ZSzDSABTZZlto+SuutO+MrD2pA
eaLXP+xijs8WUMWdrMVuVIgYiTaBPtD0bPHkpa7j+Bmmx1eWs29noLdf1SAeetQa55ySlrql/S1o
YwA/FtfaFq+8HAZbWfI1RWZ3G1yHtkjMFZzI2Iii5puqhYvvrKPlOoWQZlHnbIblssN6Sa7zOL1l
I4M/liKTkUlUOMG1a4xjRQaEtLM/iYltLo713uRelXhXnqaYmCeVsRnM4jMCTePQMUN/Ym2xVT7w
EG54odNWL2+uTlE2gVJ6ZuuSrhbXsjVvJssu5D+F2nsy5lVLx5ehXfHu5Vhmm8R9muOmfK5beIb+
hIOIwNmGupOuxxL7QKIRKCS4d1fIwMEKgBrgrKjdWUFkf1OetQ3acZOAmbkVU0uP0V3QdVVTnu4f
+tL8DSmKLzdiDmBtpE9xh0F8YDLZ437S/IQ1rcJjj3xnbUwyZB3mLznAlHf2cFGxF7joz/46QLaJ
Nz/TeU3ovq+znn25TuZi1SCW2SRUgxuzJDUIx7oEWQM0LCbiE2C8FR2GsHvMW9AB9Qh51auzGsHv
RFteux3G7vwrDN0AMAWsesIoBhrrsTwiHkDvaHWrABTH+/2uLKJIE98TnzPTeaRrWSPbIK1CTU69
s5zpA6EScsMOXGXV4s8cAyrvmsztXe01WNRhrI1JyrhJOQRuJ5XAkeDKX7wyXl5Hkn1ETb/p3azY
p4O2cCvreDfb44O3LP00p8tt1Ncora3sWAWjyzG03sQTivKxtqvTPcPTK2tiyWMUavQRoYUVH6EZ
qGvKPeq5rGD+UZtZs7UZYh3V4D7T0Ey3vpET3R18Tr1lPsg2+ZJJ9cERV2IzaLBUWZwbBh/fYN1A
KmlxDozZ6O4CnOk/SXaB1+qgebNMj02OR5l/d/dtB//aDXvQQUDBV41DYE0E5WkYxBkSwYfQVDkR
dCVbW9a2x8a7SspxxnwW2AgZw0VYKX3YTNRWjh8D6XNRrWA8zbdN7D+F0sMDNwbFHkxFeHZ++qxs
MAHEs00jwhC0lfOwjHZm5R9zp6renCohFK00Ub+0nv04TT/REW3tp6pz/QMk73lfTdY1aCk1CuMg
DNki9oRYix7MWrNX2A+fnpjMa84gcCMDQn9Ll7Xd6udjQqLYKnSjd9rp7UvWWS+dr/d93+To4kbv
bPNmbTngA/LBtsyFKVu4BinkOSn/cFWSh6bOxKao7HgT0cScBS7RnhavpVR1hPb61DfkDCaEnVoD
we9YpXgKwDfSZGABQAP6EWbKPju9bldKeieRpfraHYay9C/5mBfgW4FGmK2hzlDDLxUo9RMv7Fc4
zd6TE6Ie6mfa44XlmBeTmnuXNdTWkbzB2A1WCdnz2Jt5vO0iwSV5YZ3XdEGZ/sNZuFIDkInhjGQV
qEctAH3hJdM3k0aOYGD+gAbFZjKQCkaRNef/HEdiW59GJ0BqHUwnp5HORWSO+quaKy2Y7XEaXfLQ
M3eOy8nBaGkedNTuiKvsZO9pFZxN4L9Ii8Xp/gHtbitl9hjGwty2KSCWvqOL60H4cksOtak1/s4s
niSEjwkNFAzvTmw8j2VfncYWaYFa2m5JvTS+ZhQN9+ZNAFeJA4U4GpUeYP5gGAx9kt+MyY1PCSwM
jLD8XyMABw5J/oBy1t3UFcKt2K+aMxWaf7CFeEyYpj7Tnywfnb7ghMZCsI5SMCEW/7bxpv6XHSJY
4VnJbpMZtxu75/BYW9nOi6z6scnG8BxancA+JCZqUXSuJ0r97FT6bHZE+CqIJPOip2Xmg84T+1Hn
p5/kAsl6ZZTFMw1QUBK6F1urA/5aAXRuCm8ny/Ad1hJRu/HyZJVusJF96iMg4xgxeA2+r9YyXses
/E6l2+/R/yFPLJpjxS25Rjkdbpsa5aDAzLeNcmZ+wwwYJ6P3EIGDfCbRWKMiyDDIB0i1y0AQSA+O
Y1yaXsZkX4cJW3ZP7tU+6aPkNZpK56HseC1GYsavrNLzWVfRb8zXiffCiNN7iZuWJUGU7nFp969b
r1swnTp9QvmyTiBEnswl5GGRyfo6RWsmGMos0tLEWcT2sK73RlJYt94PXwZO7DvbCVLCTnqDHJOK
kNDMX+z6xmtqZ7sqYoarW+uC/UJc7vdKJ8SR0/DTSC18q2sE5PcmZG252YngtHAjQ+t36EJcok6G
lREOj3O41WY53jh9MXXM1ANwOthvo6+pl72UqTAWhkKZl7j5NiN/PLd0Ay6tgavPo0prHKQPlWHu
RBOQqnvpuq90jqtzgrNn7UmToGzDYuNti3TfUnptnCTxTpUTtsjwj70TRJfBxuHvFdmZyf20zvwM
OWeP0C7yO4sKnj8JFghyzYorpXz1WlJQHNop6w6qna+uh1smzkMgL3Mfrv+TsjPbjRvZsugXESAZ
wSDjNedJUmqyZb0Q8sR5nvn1vZgFNG7LF2U0ChDSLsCZYpIRJ87Ze21pV9G90ZB0ni6ZssKESWo2
XrXJ5yGTMO2a9YwJLkNzeEkkBL2UBZ3d1oQoO1u/cpTkjHnTdBOiVcfMbxl7H41PHuvsnI4tg1Z7
wvaYtu759kMWCJfnYXh2ets994MpKCnH7nArQDyjPs0BGQNNM1ongbEHmoR1LGwy0pvcBBqkCtYL
m05MbG3mefhV6vxpdCvCQhiNs6J+IH1AD0ZvfIubCZNHCyiQYMeGpgd5h8I7Gg69H3AdMNZm/AtS
ONXBj+87LG1fdIq3pTTvOmvQr3l2Z6M7JiAuDu6z3LLuHCPaIfR0D2wZSGgmVlBYZt51RsBKves9
kqk7I1ohPVkDVHO8SJyrunyoQ6c4j1XzJrCb1p4e7lQE6cEfA3l05HySTvHiZ0tKIgfJosk4N3bZ
W+vR0LkpnY2sgP/WggZK+PWbiU5qoYoPhpG/itCryZ/4CtIIFahyoS5Gd35gLrw6yp1ssbnFsZr3
c2EojLAd0ZDF6Za2x5dsrBfNQ2mY+B+M/rHNw+jOCfK3kJgDKk/94SxHvCxdp0spjUrN4RpnTBTi
LW4UwG7lfMrPmLHoKcSLnqWy6Tf53LQLTJEjL808RjUAOvxmB+SBx0u2AeF7DHFJdar2nOPsnVem
nABTzBJUyq8xE9rYwqmqCmG+BOCrCJHGXVeXBfl/y/dP6TbBvUGSo2T51WD2uSdUlaNQ2sc7S9XU
zeLLlFGETVl639MFvWggCToI7MucMl6YJmJay7QRd1PuIeIfAIbqXHKooJFZJzinG6spCU0jppy9
8iGctkNCShDXURypBMdrk/OgG3WJkkO1m0xNvwdbVXcNK1PTecXOotPJaNIINqE5OCdSWVGXZ/GB
XhKyxYGFsO5clkrQhV3NbNlwMEvXXq/W2LUWrJR4UQPHmbF0YVFhXsQEAEAkILBhZSO98ibsU3VG
py6J60M08eHQZncm6jf4IVyFgC4mlU502grLDI5DL9487Eb3jJyf8gy41mwGX5zQQRZma1CR+KyQ
Z5HcLBuf1AVIgEuzCDVPfRgRqkBBqAjizmlzrWi2IyGNXfZdRXsJDFX22wUjcSGRYZFJDDtVTPqf
ZkrnV2+MPZ7KEbrL3Kc9nHAoe1ltryeVx6fsiwrphgdcpRUsUvciVfFT1NFpmux+B5qkZRRruCen
arONFZYHPZucBlxg7mHgx5RY1pXUqnCjMhA1VDP7dGzmFRPnaK8k/R367902q0LkFiW55YZ6TwZI
o03BujPYbv7YM2AOSudE5SV3WEn6LbkGw/rWCootkiWGCo9b8RG2/fCuW+elYOVAFWw+xv6dmPr8
0ZyDTedh8xRJpTlmWuU3z8YN4hIhts1TK9r0fUAxhfMQTNYxwPhxxo0CpG8APsN9+jbSzorogt46
94L72pVVdY/s4qkBz7/Rc3YtWo656Jmwm6Gd/9JrD+zfzNlhkeD29WCckUfO61tHghAbTqQx1ZYX
Y5bAy0pIAfOvIPgao9g6uPCZV54c6XjPJZRLV0eHXgr/hO364rF80eNS4XMeWB7ezyXFy0dRrkQX
PjcTqrBh0MXWscry7C4/nMi9S02wCreiBYrjo4vNYKdRaJ1tbp3W8mZwWT4G/cBqYj63V51jgCVL
TwBBHxFsR4c/GtrOLnr5kSvjiyoKd9XWYbC29GDeFxUh7CFLddtaj4ioSSUWvz2jFYfc7d9FUHt0
MySnp8qdt0NLsFLaBO6ZNunVHwiiHJOyujS2WplTSSZKrN5NI6j2BYlLdA9G/7EZoq/s/98LYBzA
RSmXOcOC96CiPCQzsgC6NumLmiu8v3G/nmOio+tU2/uSuemqFHzQ2u2xNM3tj6Th8E1VZJ3smHgM
WWfjHugmbEZAlaDKvVXWWg37uMq2ssZyFo9F9jKbGSZvLzu2aI/pFHXMf0lTQGtVOK+UQEC2iG4f
epT2c2r6d3FX05+xySXtBrHutDe/NB5FP2GY21i7/WFwXBLN4+y9Lodd6Jn2S0VMjAdm3A1cE1tx
RXBzhHPejuBEFaBN5UAXTMztq3JAa4u6pNlhDeJs2cWr6XE7azEz0ezAKQTj/JZWaMSF8yaKRLGl
DiXj2szZWouYLJsoUGBR7tHoJQB7ynVMX1NgP1JYE55mprRkjchroLjUaWqOX4fK/+0nM8dBum4X
rx93JkvpW17aTwEWJobaZYjviY2Fr4gY0jJqrr3sKVEwojaJhSvF6DA7twnmU6raOYKBm8LIC/LQ
exoDrda6x0s0J165i0cgGXGMIrOdgr3bgze30jRZl40wEO+5Nc04VkndUmGqPPJ2o1+V38oOloOG
bLS5/V/2TOaiJk5GCZ7aKJJNwfBxXc6cIiQ2T09MDx1k3gsO133lTFe/C/tjYISoC1McK2oarjyH
aOWYdzAWw37jOd2rH35UxtSubcuXR9+jacKZqN4wwirvpDPRp9bU8kDVEHn6TfzVKX4S9BMza4MO
TI73wBpRhedgScKJ42w8jyBDCqPyHjm+0YRlBIhdp9uqbJZ3uWp36eDHE/I8jGzSNd0NsJULQeMJ
I5uJhWuGi1djx3oYkJFfTOu3rVEaLmPtBJr4SSfdi99G9bOH/V/ZV+wpjDZZRjZT5P3oyUvFvj57
2JNE+zyqSp9p5lyNaf45dHn7FIgtDXz0R7ICBjPj++2t+PfIQrWpK/GR2+aLCsgSJ5El2W1GCYcN
o1u1ngJUSu0oHmQT7bDjg4eKgwfUjc/S7o8xhw+UwZC3NLe5UsZPP2jkJkR7ykiYowTcCLi+zV3L
2ZZr2ewsAxcKpIax4fEJTQuYHsQ1hBUUIjLZeXnW4AlBctU/ktsDnzWP+SR99tMyLTg7lDuMUnCd
glzMvRHVsvneGpTmDN89oG8TDz3ZiSvIrwilS3hFHEiitHw3ysjmkaF0kck6JgwFlGN1MbPEvwtD
pUHC8yoIjAvUXH1s1diBqExFf0Df8TYE3usQ0CUgTYSRWAX8HWFjcH97dfthzI156m3jkAMhvg9y
LJJjG/6shEhMPDpVeF/6w7Ep+gmByvJ33fJ3Q9O3+xZVF8paTOdKKWs7FG5prgQV2P3th7lwGDr0
OP/8nY9KeVe3TEhcokPuYfbFuNFxCwZBdgWFiCLtf//+9soyC0VNAHjDc3dmZNBO6UqQ7Y4qLlJ7
nNCK6hcbOUtsBSCPGjJZtwZwtLgfzR3/vrsO+i4FYuz5m8oXPT2WxDwR2fNuT3D6LCup1gh8D72R
xJRfebGx56reWpqoaTOa5q3hARg0bX94TmhNXrA+Y1zQT4QLommVUQxnJln7Lf0+evHXjCu7NlgE
Gy+9j3I6ZMJX7wMnL4I9o9fCLH/nQ/RFDOGBk/+JfnLLUAJYRFDRymknsa9FRPu9lmdrZLSSARrx
ihZaRsZ4eviZ599QfH5YDP+6oLYOQ7W3LWT+sA5Ty2GsFja7OlAXPdEs5mxH1aZwt4Z58NQwR00c
F2GvBsc10zlbEUzYuBq8rUKnYRD2HjohXHLzIx81ns33zvoOTK/gJCVPxQAoPK+QgFo9BnEdJ/fC
zr217JW5yruUwKrYydCZwA0fe3xoxfgga8ukKf1txjQ/ufi9ZgvXTOi5j/DWGfGW9b0z9zuOrXAs
EOHSWwO5xjha47nzcf13Syc6dLpHn5Y4FgTQNxi8740DTMfwq3BKF90K9UFM0Wi0kj5em15c6HmL
huHbgqEzp7xh2a22bBprWsd4YRr+TTNdToXNITGwN+bF97QHFhE7otjA3ASI46t1DBddG85GWAm0
yOk66u/Az7NVUECkmIoCj7FFPAb0YNo25DcBICjBuW/sDiMB8zwOOeLnPPiv1HmoGXvnWZd4CObo
5wh21V2eixoTVxyFER4i98e8mImKNEn3oTc8pWVyX2T+I7Pjam23NnDpZCTuqfbPtnB5CgK9JfZl
WiO/gdJROS8eYyLttrR4QmtYu6HzSyc/k85latoES0NvsQB10L6dQh2yQEwb4S+OoRzg09AUW7PD
Xu9mz0NfgQfvqrMdTygj86bm3CWfQzsihxkT/bZEf88eLWmn1V/xqO1HZyC9zKh+Oa55oGzf2Qnw
j6FNjqzwNOPDnZ3nfAM59rxsrp7s2ql22ezsPJ9BkjDcR/yaTBTgmNP/JVOqD4CC5uFPaxTXDopj
Jf18I/Kw3ZpOi/Aq+uVKwsSaqNswrPR27hhvOmyUm9Y3WzbJem87+UNDg0eoUTGlB6DeJuY7Q8lv
XNeofBAj4vVQcVMVrUc5D2ZDdnh0x2WPKWijlORfkVJDVW/w/fhIIrDpY8Kyk+YYtg0wXviHGGwZ
wqCP5uSCqTgfDvi8090wxddGLWfSxLHWZaX1hg4aG45dDAC3mvpZkaq0anpCfhdvSlQwN5R4Ppqu
2MwZwqSU7XAIagb0CjsY4TWbwK0uAcLbbUU8eQIsemWSHlCRLYqmbhshb0IdXq6JeXgExCnxNqbz
ejb01o0Y60wdOapBnzMry+lvaUvcMw7NOcLO1WpQZQT6xfzeohqPrIrSPqlTBsJmvjbKn1NcCFhJ
NO1npa115r/i5zmkGb2U2gIEysD9ubMqwGK7rJA/sgAnczZ9oGz6SFjRMFhW2FYR1Cw5f3iEzPdq
ouVDBwP3gPhCklG4cl+yzmpJvCE5CrSQ6+JIyxjV+opGnJwyyK4wlZd6Uw5Oe4xg6dozRbzpDUBI
yneyRHAUtqHH5WmeJ2A8K5GjpCwIiXEivlRlKqTAyZGD3dc4Tr5b4VCsHBbjvJ62OhrCvenpl2k8
V8L/ZrMSbYjnGXfeKJ9M2vWwIrfdAl+UUfJWzBVI6NL+URbBl46nLtY2aQrJSKFezO+Zzn65fVPu
y+Ls994xKOtvmeqCzSx6Rg3zBQIQrdPQXjgI4wZmg7Prjf5qNRlAGOxEWEDM75kft5sUQzGHD/g2
ufqJOuA9KHoQzq33u5/1L99hw61SYzfUhIH9RS73pzjNdQX/WZr8OqE/R9pWBZSkGG8KxA2035P3
tVRlu0YzmsIyCcTeFqDkuhppfU5QACHzA3PCu4SDPoQLOvOSOBXEkioEeWL87cN9ijq1Peliy0XX
qxD5ulJ/ioyU/hy6IbOEE3BKcawbtB1KRwQFhXJLi55+fqqh0HfR0tECAeaF7m6O1pliMGtY1GUD
6Yd48a1L26FEtaenv1y9TynGtw+4ZD7St7JZCj+HkvZhoToy7/yT5JgXADygmsjDXTJHxr7ig6/D
BgTx6DNxvLl3lqxNWxR/iYT9Q2PMZXIhg/A9WmKJVv+/AkNIGUR3ID08oaZhSDEngGEVGG/nvVAU
nRCb2RJDxCRFmv5F3vgpeJQL4Jna45vxBDQv93O0dgXAu0QdTFjZMpJuGBfGEYZ0Z9Apgdr4lQB6
DChk8Jf9+6W3l+/+PzLglne2iLe0uHNNJcn4+/RLezipSbdyGEFF1QOyrxP+jo32G+sADnk/DYQc
Wc34ks/e78Kd640nr9Ot2svwn/lG9Dsb02RBsNF/y3FWInTAclb3d45TfJA5o2g3m3+Tp4pPWaHL
xxbmkvJnCzRV9md56kQaW0t+uzyJrqa/YswgJ1EQQA6zN4mQ/ZU8cCYF9QGBnpwJvfHJgrkgwK1R
gPZQRhrOznZxCRJm7kaLb78jhjqx60d8U+25AwHZgeHau8LYMzdGRD7/zAav2w9NzMCB0cQKRwd5
U3aIVs4lxQQsM+oJ4CaMpu8ovK2Xf/+m/rw7PUdxIINV5doMGT99UUUuK5MrrU4dfWOsi5otTWBd
7bu3RlAJRjUNYMuNv9YqMXf//t5/rm68t2uRlqeYfSIJ/r83SerjEfc5PZ4s/EM5XuIdIs1uW2Il
c5e26b+/25/Llee42vIcR2nNsvXp3RT5RhVqSXWKbOPXUJSvaLyJEqC7n1jZ77H0f/37+9mfchCX
m8nRUpjCQ1qMZeHTpU2qrKLzUTinxPfdbQQRmpJ4bzWEiABXpdmxjAgiQrPXgfFUlvUSPSfYbUES
HG4jr6p25VEE5dNNNJqVeJlysSCngRgVjtwlLFhzGzgPQVOdqKH1X5aPzzHwy2+gyCR0uWBS8OrT
JcthKi4JxJJcd4OUlYL2fdzUV6vzSH0j4+pgWcabYBCmNNNcBFXdSmcgEctFjjh4KETKfN/4mIpT
OWnGGerOM8ovdlQGL3P+6jvVvP/3i/5fbmfSXhntctnZ7z9fc20PkTmXjn2i1UCD32HaAaYmP6AA
PFp+AbBiMTrQCg8y8/zvb239lzWPO9lVgga0K9Xn/dClect7Z+DXFvdAlc8gUjyUO32dnC3BNB8v
6XRntdiaZNwy61o0tfUIBgSNX/+Xu91a7q5PKzAGGZZhaTrAqcTyaf8j0Lk3I7i2WlmnVFWsV4t6
aF40P1fuv3A/l6+cynngqA/x5Bd/ebLdPx9tUPUuzkPpMrD5c1lh1uWZhNCdStP8Rk+wRDkipjfH
24M3eJojRtDCAZiX+csIx8SoS53PkCRU725kH3DBW99rC7pyVzgPvTjRuV9HVk1044yaIVBxv4sY
XD6M0rrOISUGZKJToDvrnPQVXAF4aZ0NhxybvgLty8itRFN7H5BjKeizrDCMOLsMfDSaW6W3UZHq
TSyzp160h67SALP2t6UBHEKJoVcreBqoZq2JQAIAPki/Gsp0XVvsZVb+HpPpac9eQ8Yhg0LMczgD
19jm8Eq7wXgJYlvth7EqV0FpXEhNmd7HQRyMGFWSkSVPtUHhRlF7AQ47MxfTDDsbTlRxB8JUer13
yd30uQ2Sa9eE2NZDaPv/fvP+lw1bmxihbM22xwHitpj9x+2SR5weJ8N3TiAmvPOcOHuUBt/jsPEe
+9Y8ewEyjGRCMxBbHGQaTO15nL90o+8czblmuEwLNiB8qQVXs9fWQJ8ALSPDEog7XeW8OjP8LRwK
fwsu/5yizRqlTZKXTcpjUr692534Hx88SHtkK9SAp5tM1EFjMhvT7w4r8/csq989YzrhRHXvknkm
dyxMmUnn3bXVErtzyXaKhCaj/mLNikwIZRHpzUqgHqzHNcNOcUyCgr5i/CVgWoWpuHT30sfF3JbM
GhrGWpZ+E/GAvB6sAu7slEm+QqZ+gpd4vVVWLef+S3bFMcXCqEd7m9ogQn1my2eZicfRYBaS1j9q
UmjPmzGNmBSyZB4qOnj1MOmd8e6JElMK6b0bdFj8flT3giv8kPljtqpxgx2KFp2XYw/f/v2usP60
62iTPZpVxBI8xPanLcysGsyjHltYSlwrzZ57EqerLXI2/EUax3VAhAKNOEaCSSGLU1q5hGmEiCIS
XQb7OvnL6m79saUqwdWXFhYi1jb5+fNUUcPgsp7mE1/vcHQbJBWE74yFWd9Hkk5C+5i04DTcEt3j
aJZYX1Gq5y6Dtwgk56UD7PCXSvfPVZ+PhKtJmEppdsvPBZQ3gycKaB6ebEKJkZmqFT16BobMG5LQ
oj1jI69zlTnd0e+fCCto15nZ22dhEV/xl6/rj3p/+SxojS2TUA427E9rfoY7p2yIPD05gYUvEHfC
sYE8HDEGXA0dX5pv20hfmXtuWmUQGNzx2YwBWkCS5tCMsitz/SXqCZZYxWmXw2QUn+F9vP/lg/65
OykKiuVQgrmJA8Lno1kqwmhUpQthorZx3GPMPmaBeUEdizefseOBBizxCWj+H3xI7IbeVwWPto6y
8GJEMDcwoQyu8xoGdX2s+6gDCe1ll3Qa7sLdiND3qazGbM1yd9/qtnxmhSA3TENJLoZya3csw0XS
LBmDCTE6hf7m5+0voqyyfTGBHDBMgHFIcXMN9A1BuBNLmouLsDqsSKPoPQdlIamxAqW+bFzn6FRi
JLIvc7etXTXwsYLiTKQnH0C2Owm7ZN81IKt7y80PNAsE8iCld1D7o00XzyS19+i4o3k40RsFpKDA
xxfSyc+jYCx8+1G2U7vrp0LubweQgoEe6lfRXmbckrhDcujAExKEfptBjXm1Jsr5OAleM7v8ljYc
cYMIXJBsrSMOzt8EDsJQFDNpPTkEvdBp16rr9MNtEY1pGp4XhspUdd/MAre9CcsHpdUlsoynxgaH
CChgk7mS0LLyKwN/wNj0106qng63k3Tk17/HHAV7rHuuBjsBGUOBdW+lEXscWbqNdMa/1Bx/3vyO
xUkfv7F2hPnHYTfKccig5mqA5QlOa/X6VkOXw9bDA7wjJZK5yPT/f/odi8deusBseGA/15ttAK2o
H8P6BMm33QG5uUu7Xp9jI0+PcU++9eyJfdtGC63Bu2SYef7RKzid8i7//lDZnw44kjLdBSEFmoSz
t/nHM5Vj/bCq2pGMpo2XyvXyCw8RW7BDwxbZL+xr7gIVYuyX3bRZ/Bqzy53oFK4masfYhTWJnLk3
3EVR/p1ChMaxbaxLhI6jkVE7aUb5c/goGP9tCpTZZNHUgLObbTGO9t9Wes/649dhjRdKCX4XW3BG
Xfam/9jYZcqkEhZ7fArHKoIJH1oknTrmKWti+tq3P2NZtE63V8mSqAlM8Ti4/nyKW5zQq9tLAkh5
mXpZupuE8WUck/l0+xFRxSNxHyk8awKcl793jILmIa0LYizb+WSPCQOFloRphHAMQSpgoQkGiodu
OtbVzDAlVuIUObEBA7Yc//clIT9bI6DxjHNcnOLQm7aOan5nejJOEfnu7O9Nt66zJZM0GwtgMX6P
bCkV2UE6ySE2SubaMVSsFLm275EFk43gPtrl5YRZiIHEiVho/3R7pZuIA6WZm/zEnUyxKszH3Gkx
y9TxMzFPuKX9KjhwFk0P4HH3tmcisxnD5woqjc0qhmKueslIDXUqcj8YWc17N3wNs8DZuxV2NmYJ
6MUNBVqkDl9uzsx/7FfoBbHcBd3aGfEDdQt7uExldTWiD6slxkNk1f0sQwrwOhp3ApvWymyKANoQ
YdEjWhKb4cZTbPXWSx52mwYty5ZEVkYFKQNWcLL1WeMJ2qes0mCjPQ9suNjQeyZmWlq7W3k2DeVV
xuRalITf7VIJY7LFKHb7lMzA73Jm78cOWMbadHPnuU3saKMT7gaOL0zmkQjBWDPaiwEI+hIjfuJw
QThZb0tQ2S29JjLkr75fmS9xYGrQveSaSe0/4/mHUcUzZBqVYF9qSmMTkgyK2k/eBXmQPlSQpFZF
ggILMpI63uw6bFskyS4wdQNizSptc+ztE3Z53FoH7sEA/lGIeFUYYAPHmvNCw3FaO0Gxa5ofeGcP
rRisl0GCGUqqwMADSkt+KpzsgsplUTs5FydBeRbgo9i3iFz3OLesVdRyftJQVzaJr14QjNnbGHXN
vsjwQyawuloPZIp2gy/0iB6wWtGGgk7npaF1tMkJCjjso1Gf7W3r1wSEDGtGH1BDrbc8c74AE33z
mgBhKUzv9YQr/mh39c7oXXJrAwsrX1AclYnFvwxx9dW9/RXhLLVznsrtUMvoQCrkwJvGXT1e+Zir
VmGP/6dDaSbIDr36icDuzYCR7OlmTJ0WWS4piC82+i6GMPQyHUo/YPvdQ2EtESrEp2+9AXlVT5AS
Sthq35Nwgq8X0Z6PwvYqeyZMQIqjH3X4YQaz2uvGSvdDiL5vMlN7ncdhga2V4zouA+7X2X6cUca8
kPqEHYeEDMRJ/DGtujuMPBarranQjdBdcLsBUUsoxmtUU/WLPm52WeTFh6YyL5osgAOA6px5MebF
EcPfVhrAWEzfF0/oBXj7uX6e7NTdmI65jY0Es5ci5CZm5117CSPP4ignVT5DZgjWAMA7hicEf4qZ
CWsON/LQY73dtDz5JpZTBATpQQawyOQQLFvvFCC2NZFA1uGFZkkIE4ZVqDF5IHLRGbtaJPD7UI1s
egZYd8qGv+u51E+Dx4bvMqHW5FVtDZwF52E/Jb/KBKko2r7yYoKmRZmC4SRFWHnR+SMnlfZCqzfd
0oDU68qNCZIqpLtOjSI4ej3Y9ASa0gt17bqAS/pIxYRlRTd3edtZ98A1YzwRTxh3shVmKNYYgM3p
pm81DRU5Dmd+//CkclLRwKZdY6A0VxRU5MRgueoHItIdGXpXI2gs4j5AD3GcXQeIMU8RPvilgTuc
+sogQwI/ccCQrDPfCnJBAvQDL4mtfXbKadq0ZfCAgNh7TpIfbAxMWBvhndqMUw8nySqwsW0i5pX7
FpNF7/cIoa56tJoX2vLWzqwmQUh4np5GYjSz8TQlkYu1pP0g2BDwcQZMPyiTbkO8sX8uCu+pMUeH
S/oRdsFR45M5JRoR3IT4fRcx1obcD4bWqfvsNUteu4aMZ9xW5wg1+aEnzoUpY3w2HLa4Wjs+HpAS
XaMrKStLlpQnIwl2JYlOrlXoBxI73N1Ym/XeT+JHmdPqa0se/KLMJWFteNI6FOZHYoHNYzBlr2z5
LFRoVLnaJo0+3XQYktC3ramJIUiHYw9dbIz3QadWY1AMt2lqXKIikl5zBg7KabnTe6MqeZpN517H
4ncSqM0kQuaxNlMamLDOdskZzwPm3Qhni/OUUS4T66Vy+e5Xk72ChmDvCB6mbk6TB1T3fA0x4V4N
pAcmwAPOL2MfpBgFcIvN94wkabSZs4YOlWmSGmPgUzhe9/5c4ZXQ1pLCfWd3prhfklEQgWr1MNSE
H/rIWtEm2WLr0bPfj229KVzbuyCg67aFU4Q7pFuECjRc+jaddkWVjEdHVHjOl3+aoTC0y4XWgnTH
4+EYgZtjWHVZQj3WIIBXYOpE0I2IJ67SEc5zxVKZuU1+naci3w99O6znmqCJuk+w+Pidt65809py
JWPYjw5eyqlZLCPRpY0GVHlQGT9M/UUl9zLq3G8K3kbjVCl+rUIu+Rb9Myq19U37WxABuJlC5yNz
FarCOA2P2mjJszXkXZbLaVv39ZUj5U87qg5er+ejRbQopRQHo/Encg7ch1nz6LqAG03Sug6yc+/T
JLi36XE/2M30bZKlv0mD9GI3pj7YdWauZ4HUNsCeuIZoSrSmM2y7aFYHEHaEVNC6pBfHqYOU0rWa
aDO0DTD1zFTHLAGDXlTy+TaW6VqRHJVRKz53/i5MFBxtry5tXp3lIrYeA3Q7aXIpYlkTLktKYOsH
GK37ViLMG8aD4F2srBzOKi/2URBaF6dX59lLf1ZtrO99ZEGCBs++netrNYqEX4PEogI06imy/E04
n/MJiCP6MiTFsjSOTJ6BvJi13iZcjghIA60gCAJT/FRoj0A47BPWZHmXqiZAbxYO6Lfh4+Ysh7C0
8ipy+uq5uVRe660cDUFGty2hQAxD2lIYq64n8b2yrM2ItHU7RvSIChrRW+b5aFrN4ZjEZUgyn/VY
0h2Jux+ms6sQI8ja18cITQnoxzJBoIfhXhLiu1Il1vdhsTDiEMUnXAsGdeF3pMXjoWzFFUVrvpli
UnZ91fknDnno5LFGr63Kqy+g3Mm9sZ2PyBfizpmbxagUH20zffNH0MnMQ61VmGFecPH6RGbeEmer
nnVarhMZk0pL8iiaPU6gSTk856Ixz50MNgxRSQyZZE6zuDlY2H5tSvMnensv2WSbZ6hse0FCzjGN
SPJKsa1uJ1eE98hJdsOMvRlAiXuxOvjUMxHsJ/qP1hZTRnqiLZhxYHauyoi+sIzXp4Hm0cPMZiyQ
tx6FF7KAtMl9Nzsa6ipNYASUERNBBJaM/aqmf6f7Vz6qxxvgJEjc8XqrQxFN71Itwgv1PrHaBZJu
o2rrrcGTvzFqgi0yN0BT2HFzznID7K87IvIAe0wExqOhB7jkgXkH1bhBCe9AGXJUss9D9yE2Zb03
shTTzIzwDmYBQpUm+u72yXwchw7Hqs6eakiWETaDZzOQ5T4WDcloMkZ84gyYwSP/qMeqfMpnQAmW
oZadMzj4Je819snXXjTPVTZ+UdbgP9EtQg9VJvZDj8ma9hCAmSluEPPBCj80CacWvE1Y8/r5HDXm
/GB3gAfqbDDeSfp6wInUEUX52wcbXqOt+uA8bGxqu72A3VzHFdkiZZtYxzohCtSU3BvpYqrCAdaU
OI961QwXgT/0oCrvO3QAG+fYuSKnkeTSKTslRVVupaMFxg3oTv+IgBvgBIhHGadiLlqpaiLlMItf
K8cmF7XMH1FjAw4NCcduw+7RE5n7MfCA6RlbUJc2Swy7NJ9KcHc1q8kxCjzsx2MXY1D3lz2Do9aY
hadYvqnKoB7MGyTJZbOkISJZOzXlkk2dTdegIupJytl/UyFqm5G0hyLur0FPupkTN+LendmVa6Tf
UxTaV1/IB+2MeEAGkV4mvNQ6SjW4PTyOyPvuukqey2GqH52mbB578me2fTmT68L54XbfDmjC10MN
w6UhuXvfueCax6G27uNO6C/sPnrrTOjhMfrsphIgQY8+dlO7Xb3Rw3ScDc55nLC/SD3Is5GZGCxN
O9/zzXwd69xhRsdq68fmutSoQ/M6Cx4XpExZI46fklECaBLjc9YCLRgSglxSjN20Db3n1PtGQikA
FEs/wwFHWdhCNOKxrtfNHLGtL+OCzsb2xN2GebHwGSPmgFsaWW7jHE4+jTM0V1CwM8CEK6+WIGp6
ki/wGm+LjnogrQSAizSZ9zodoBukBImw1UzwIWwESGX+m1aG3jJVAZxZE79j2ETfmBauCH90xC5G
pHcnCrFDzJOcl+yaY+u2F5vAtdPIkMVz6iv/HOLfmKjBKUnKfUsa7Ho0W2NfTxPZlL75nDMDOE80
pG/trbkJf+Q9M1yN85UAcj++YLFmabbVCyP4lyGf7msDV5ekgpvyJsbx6GAUbcL6UNR4Pa29kRJW
1C4soyZ2vkQRHpyqSRuomRiHlqSNh7LqyS0KND4ryzuzkJD9Ho3ezqb5tYm65sNuOwGS7H/YO6/l
yLEsy/5K/QDSoMUrHHBNd6cOxguMDDJwoTUugK/vBWbWVHZN97TNe1tYMinc4Qq44py91x4Xugko
d6CPrmNYScyeinw5ttgZ2BCbc1e/0Cyb3nILC8q8LQDPsrSdQjuSyNvjGpa4WXYX2ffZUeujY9Hn
1cltso+4b5RdHk84OoiGR3dMP+wbkdSjnw2RbRF1kkE+pgR1gYmzLa2uvTdSFpJR2n7MwptZaqPL
cpORZIEC76dO38VOpjwAkNKfxrg3jkViUTCrrOHIcjg5W8Wpjpb4bmqE3GIC8PyWVgkScDAnNk1W
S/AelqioNtQtsJtN8jA4wLqTaLrECC73k67/dtrZuitU9zy7+CI6E09KM6dyL5BlBqpi/DRRHIc2
Owo2TeOyGXn/9k77It2VhGkwrQ9SPnyDoFgbqVz4HiFcQLZXkQhSc+0SzeCqG9HeKdbw1KBa3HR9
W4S1a0ds2JMhHGMtv6OEHMlqOktrOrrsIY41CLABZV2I4jeDqmW3JyfVr5p0uwf255yeq0G2SC6j
WxzdzDOv+HJP1UBoF6Cs+Eb9PhgJcwmdOFaD3kFWOSuiObdNTeZQ21y1Fck8bNGU+7Uat9cOIbqJ
aw2eZndxBusUj4JPHjzENrKqn7Llht/WQ4tchYBY+GuGVSggj6QE1ERNOnP7l2YwnkZsyNiMZmAn
5oa8EzBhMIg2jPwfhSLwoOV6cyd5zIMnrRel8n6yVvEb080hsXoscylq7PK2xECTp3dNR7bXusts
wZ9+F5ny2jYOpUO8lUbrdbGYu9S1aumN+aXRBQveIX+MjC/it3vs4SRGuQshFU2lv7rROxTFj3jC
M2M6MgqFTk57rrHtnwDohtgsNUiw/ZpZU+xj3DHZYnRrysahE564wzn4aQ4s5BwKAwSZkJES9TiC
EEzjVtOfMoOSmKYN9ueyscufymLEd5Uo2e242pOXkwYe22/GaI1XPckPrerkp7QpHuKWjZdpmHBf
oulezqaCAkvJwj6zXTi1NfjxXj91QzyHnTSs91FLLALTrMOKnr2yFz2vPGC7mw7oAfRASfAYf6/g
KkZXLaF7kaA65iV5QW4DYXTGEk1JH+8W1fktNOpRuDIxeg/IAuTMtdqhWBUO+9dKMux4nfGj41z3
RTz3B2MZJ5xVShl66hwyTCSkS8qTPtMCHbXm8icIchWQAX+agjRSidYwqEpMqZkHjkXlPSJBYhwH
dMZlhZ2FKCe1SB89e7VXdggHUfvu3MYkTCFnXUheCTk1CbhuJ0rvcI2RHhgBTm4GLELLMn05NnA+
wm1hLBeTWL2C64DefdZp0u5hiWA9H5cPZQeXB8ePd5E6HHNb6hLerhiDb3wXVAHYSROy/VjvyUXV
1+iSVTRJozg72hQv/cwC6GLF5CY7LVVYtnVuWXc7U7Ls9nK2U0xB9oiet8RY7vfkjelxVR7HPnsf
eju5Yynf+K1tMHexbjqIqr+XvWccDOJaQM6r30VTKnnr79R2JucLyL5hleM2luObNNt+K/u83GSZ
Te3TcdqQZCY2etNqUeklQhvRqfvvGX/oIUlU1QgXe35rDHxhnJPYUIHaTXkhf9idfkhMXM+OesFE
q1pTfSgnWmYzwCGgKxvgptMNiadDBhCdUrUNp0E3DhGD7ODa3WlR1fvFzbSLbAGEDK2CY1tKrh02
ou662cn76KOVUBNcuPd+1wDZcK2u8lVPpkcT9Ndmce1dvjYTVbx5bKMkcvqq2dE/MQ419iDyj0r0
TwvGKi1qfvI3zC/6EPZJop072Vx0OdkHQn/36G27m3esrhuILTbVoprqFE6XQ5qpJDVohOHodvdY
53r3kLepeSjgai+5UtzaC/FlJjEP8bl1q1+qm7thPZrNzkWcQKHCHbZUfLWnhqnqUNL1qNrqlluw
3GSCmy9iQsBgfkDSPD/AVd7bYMNX/UZylz7kjUuczQAcn+Hj5tgzuABJbomeMkQvYrbPrETH+UoN
OTBaGB4ptNN7NKs06Ro42pYtO67GbL4auNwwDtfkPcHmvldcBltT79x9BGQGnjeORvbKFq2I9cxt
oMJg9R12wE8BdFllTCO8Mzew4GE01FKExaQ720wbmNcUnXK1l9hvcv50Be4spY7YYupTflHbgrDG
8udgUTSZ86eu0PVnfQT0vE5tYD3qk26Nn+z5BSGUeEgM1L9XZqvAJCft3AEq2Rq4tlcQO0yF2Hxo
LSuEyKw9VgxGs3CPFoumrZjMj7qZkxf0Bj9crQ7B/LZfFvXOOHt2S9c4D4Mq7kwGZA1N2VkfaB+4
lFv2BLF+yaQSWBtyOlfGaL5E0Rs7oqeCitFDRcZUkIjs2g+5SieD4JVFCAymkhBqFvRnWVJOV9Jo
fmxrlcunny083s3gR5G0Ns1CTUrYcXePx+tFZwl0Z9RnRScsUisB4x5nkQ10g5qXzBogv2dt8+au
VoRI1tO1aSr1XmrlD/x09Y0c+9/lAI1Ml2m+y6TivC6zvhLqFmJEZrwfmVzIFWLrte8Gj6wSQ+ku
8XQboCBVOyePAsNJEQVTYttAIGGssldQgdU32blFPU2EGlEC+awfFywy+HmQyR5QclLo8nKVPMLy
UabTa1Qp05YY5+4cafJkrKURex5HVtts5oqqnS/o6OaLzlAWKBOJcN4wgwWPzds4c2Df5Kk1jWS1
m/c0oYdmfBRYNvf2qHJxrD/OhPY9qjDFCRy65pXYVU6lPcdCho6uFm8t3ZVdDqZi21Za/+w0xYGF
fzDauN39MMKrzPkIoQZUpPKu1fObhP/xIjxs4K7nEiYWWHmfnYsFGZlXWAenhz7FLt61+1MlCMD1
eGwcIOSW05JO8TuArxvscPfAv6+v2+iPPv53/jFfh2gtd3CrTtZFv7lP+av9STVYr8kP8KWBwR+S
C22joGcFkQSkbmDRCT1GYegA8x68cXuW7jWRj+jYa1jFbYBqdmcGYXgJL28XnGX+u+sT8+FP4RQS
4XhsDsktuY0v7g/jN9gbVr21DViQcs4Gjyg/pg9kNQ0WrY8wK7bux0S7aq8e8tN8kzf9qXtrEa3j
M8ET5cB+2lC4jroAJ5jSbwe5o5aPexUlCA4S9SLmYt5YtXgSQ73tAKLhlqJROdRuvQeEOO6idDCx
4pNckhqEiruyvGC7qy7uIN5kVUxcqHZI39r4yFgI+CxnFdCgmbOPy+qcZ6N8r2pgAMOkVHczkrvb
IAlHj8ttJ8f8lW9SlEnEfZRFkr9SSd5YLRKEzBIN3nLTfCWylopZynIzLU8Gho+SJ/H42oa2j8dm
3t56GeDIPN4ywFXR4825x03Z1NIOrG5ujt9fGrNujg24zz9/JLOAOmKN6yfV0/boQG07Rk3XHr9/
/P4u6zg1hqI4a7TTjnS+zoo4E8zOxaxP1dGr7Yp+Od/9248t3ZH9Yo1B6hrlsSocSB6C/C08qfTL
tlPuPnz/ZYlsi4yXlgqxVpTHKDXODg3C7fcfo2osj80YV8f1GUipK3/7fV0SEGviwYH7Xxy/v8Rp
VHBx8+Vfv/v+DqzNOuwzZ+e4lrX1MbuS+TpaombZfD91K6nZV9LT3cQasdSg7o5RF1e7mWCf7qTW
+rCrwLsR3/TX0Tti9P58nH/7XdoAcNJawlLokz4vZSO2raNjZOpE0gdMaBChlKY8svMpjx22zrxM
lx06RnINdZ0cGYtGtZ6rf//y/bvYaXNKetVJWd/17y/0Y6mdJl7G18mewN0oSCQMlVF/tBIoW21f
HbP1gSTt/T9Fj/9L9v8fyP4YyxDy/fdg/yBhU0pO8j+q3/+AGjsUH8n73yH/f97/L8a/Y//BMIv2
Da04/l1Nx1PxF+Pfcf5AFEOtGDkamlKEXv+H8W+4f6ApR7GJVhvBmmPzp78Y//wJ14qBjAc5HZ4E
/vRvTP//F+N/ffi/66BRh9IkNVGR6LRObGN95X+XkaDOzTRBohkaMt3HhFfEv63lRCF4q7LZ1Arp
qyaRZC6uE+3L6tgOjY8sQXx1+dSRQ3RqBO0+9mOQMFLeZL1XEwrDPzQKUn1y+9vbfPtTnf13PLru
/lfPFtELiiTeHh23wn9+tgzBdu26Mc92Uo+acIm3YUWhOvB4IvMHzQbkU0DpUdZbzp6K3YMD953u
1kyOcqP0H3rR+aOp4/1TQ5StoK+ju6Ryt9KwD7NpgroofBZRTHfC966O8bVeVXjm6AuQlHNpyo7S
DPKJsr6th5vtAnAfv+MWWSu3JjHs622gydOQSIP14SrLI4o42qiLwqGxeMYDkA2oEMTU8av1Jush
m1rbrc/AhXCxHkoCYuzcIVTrXyZH/+eTIrQxWJ/T+gS/nzAI4Eq1QtsByM8TTzhc3AC6ZV6IKFF1
qHMjj3phQpmP7xu+71bPIsthHVBTF2f4MtXrehtR2GFr7RrBXfkzsoVVjw1tl5vSfoxSUDdk+bn9
1aSDpw+I+Ef+a4dwvbeZeHu1iH7aXbNyEG0y/8qgEQyzCl1l7gtMz4/nHaXHQBbe3Xo4najdsYO6
PG7XW2SJvG+4ddXDTFsfVvbqb92FTkamH8VgqzuZKD24R1ZyAB7j+3nx4I3mbP/5UtfH6xTc0JQL
e2opJctIXrlpiO//T3tL/aD3s9HRBXy/AI4D/NnHVbVb3571ta8Pvr4GU0mBeKBzWh+LtzBav+dv
RLHQ5Kfk/0TAzmY2yhcTnwL6H1zVuenwfhEdYdAsR94Qoz+0+X6sbqn+xII0YP++UQnB9iLfXtVn
/LjeuNMmv2InM0OCVFcwZV7QuQMetELOCSxefx8tENXGKEiXnwmPsR63yxD7I9LOONx6CJ3vvd7B
8sgqjWeFDY1cqz/v6ur9pqEbkLFPT5AER3y//g2ktT+Gtckr42iZSbMt0fpHNR+3BXdfn8F6N5lv
be9NI9Azs6M9KPPtCG0KEDSeM2Q0aJNRYjg4fj1O/zPRGRsVcOT7iNS0HbKHSYmevFih6WjUPzPy
cHMNscZs3KIif5G1nQaJBdDXtWgWrwGqzl3TYihDQdWnbMOBjQzsy4PSZQU0Nzsqrzn5pu5TVv7Q
O3Y9CmxOeE7uzGuSvxCUBwUajDVFlrK3Jii3G2E3xpxnQ2jI/p45eFMDfhmqhXfQuDKIxX9qjv93
Dv0f5lBDQ2X9t9H9/0rHeayGXvxj894SKF3+p+nzr7v+c/50/7A4FDOgra6WyX9Nn67xhwH3B6U0
KH13nVr/NX1af+iqRTKEzsxq6tzqX9On/oeK7ZO2P8ZjfK+m+f81fTLv/vsE6ljrDOpwUBsH678L
3IdEz8o2Tao9KNB4p0Wjc06a4akwdXfjTK+tHLuHsWuaTTuNI0kdGnHXRFsQa0JJ23Z3V6fw6Iq5
UXFxmvvIUSIwWR7MVwVuYBVTXiRHJozmy9zWKJdU71ea5uRSLhm8pzW21TCJnUkSMFzSnsiguiDm
pICYqaG6qiooHLsAlg1li+4rCibw8tacobpVY9zqMbKivHXjrQmVjuFjxK5OfQIOd0lbGdvPtp48
QtVj64SL2LeZ1jOkvqHGE/XbXlRgluvyUJHS407TFLQqpSujjb1dCQgrI2FyG/UxgjvI4505ItOr
80dHy1u/ABq1b7Jln8AeChpAhyeVTbbRSPdQJLO108X07AmXzGCMrWc68sPkJshjdOh/nuzeFAM0
ZNcau5hEi62SJyaKBEg20OaRWsvyE0NOSfWHHeuIMXQHqpp2rbYmqWANoPPV/VizXudRES+UEvcp
kAvfSFa5YuMdEPo5p6FyMIhJ46PtEvJNqNyRw3FwEs16QoYHkTppDqXemmvjoCC0M9oPkY63xWSQ
icKimub3ZezOhfFseZZ3MhRE1mkkHwwVxuCSoz0lssK9c0ZoEg7CS7t4QNVLoqHSmVdK3wVsCrSb
mYhgJcSOerIG5ZSh+TiKrE8u6ehNoerVz6Mt+q0xwN9aKG6f8xoZpiBXGWDJOera2ZeRJCWC1lBb
mu39UmmvZb3A5mmdl6ly+o1hIa6a12AdUhuDfFQoGrNXOtiVDUFuGNNwljBjgJlvliSyXiJS5Xqd
bobexg/mnBjbBnCk28C1aorypkZ2dDLshkxh/Vs/Yy8AzJban3rrHsYxlq4uCRRsY4vs5FOtYLju
PILxlFwshMWndrDUmH0zttobxFjGNl5p5yO4Tsd2bqhXsEEYb3Wh1e/zxkjPeQS+ThlF4ZsqYZCt
PtqvRArvZUoZq6zVEklSfnUoCoXZVMec98AZ3Ga+K4Sj3LoRMJNan8RUPLgl8U1D/4hrfEFOLEIq
geIEO/3sdZCWwUmS5guSgJCbbl/rRXzQyng/mE17RlwG+683jQM80UOK8DHsScnbTGwnAEwM3alX
lvumGrP9d/b68gmnajk6idpxAhWP7O8udPrm+yqOPvF5FwGmYECwA1kLXTyUW9EwxafF2lZJiCVs
JNVz3A2BUgP1UKA3nfTopCk/ndl7ahLaWhl5yWlj7fighMQ4PqfA5bxOhpXWKXBWOu+YtdmzWhDG
Z3neec7LK31mEODGcJ0ofF7LXUw8g32qUILjtnCVDcsONTRT/TiQUhZ6CohilI1yS4n9GE2UWrMx
FWE36e1VIub2CBH3oKI8tfpLiRQJmfIUlKqWXOIYNxRUis2kKc6NqKMnhiDnJuXwW3Tka5Oz1LGm
LSrwXhSI1TJmzKiN0BtY2AiVxMG0aYkyJVuDjIbmMsWJc65oQu9yV5GbOWFFMCAYuTPd4aGoG3lM
Exv1j5zLjYwHI1SIDwhmUjN5f/SfmmOam7zJPFojw2dnZ9s4j/WdEudozo0OgbnZfjnDnIeTBInd
qwqi3NQtbsG8hkfJVnnO00jfJkaGhQmOEjaVFbs1VwuVEQUbJpGRyyTGUBjubzTSL62BD7Ym7MRP
FITn1eusDAlblTjms40invd05a2FgTYXD035VeT98Nyy9qkmEwWYRx/PTIdwXadrrPkmV276OB0P
raYXoRLREJeWOtFcosYumQSE29Nzmr/YF8BebRwcOZpYtn3XvKaWBqUYglWgchuvLH+0lHDBWcUV
6/bpuaTjTsgZq8rOis5C6/SNVMtfi9scB2qXRNDKX3RocBRl/QFhPXHLs0jZPMMx15wOeqsGVFGn
jghxHcYzBE6tj/0+nrf6nHBRCvWlnqduUxlA7slIJuIIP/qWp76fPHFo3AyipqlMN1cTii9R9iD4
gwTElqdcGDiM1qItE0ug6wgvNotZ0B5UXs0kfkb7l4RWTSMJgsKmnuWHNRXTxjbcaefZXUETr3nT
4+XDhSV8j1/KnszxoZtpAGXWvauayS1O0JRB0KMrZqcWgnJeRGcm9y2o4A0ELOKRWcAHxG+EZWbe
GSgo/JFu+1bL4nrTQkVQMDhjWGDrwLa/A3tYkN2u3rmjtVx7Kn7IWyGBumX6sSxWHEjNUshGDeF9
ebsKgIyP1eAY08C4FKbZbLBfLWsidBEWtq4fHdBWTNkpoB8x90fYjpBFzXnvZUi6F6N9NVCM76kC
a75WJmWILvt9JjV26r30QBylhaKcnglBAZwlnGB5ozPAOp2HyPVm22n8PEGeL6YmXES87LvF/KTn
Ju6WVJAPalgMPv1vHAgYFbq9WhU/NEfWD8UYv1bN8qs0ojhces6ZYl7BTlZ3bXBC0KVGlOMhHz1q
Q/vm2lmD9ysmYbOWYxAR4rZxOgfZubMUj5reH7I1yzdh/MZqFiEP4gUYravd4zpHFKMkP2aiqqYu
IrlNp9/oaCog8SkCwxb3r9loPrrJdN+VhFeP7GlKq6HgkQ4wqSLlmWHJr3lLXh0t/hTmiEguy6jF
4hIJPVYwm7iH2J5B7Q0yWiiPxHlWgZu3gNFUxjzMLwWxqF30Y7JnoG19f9ES5MEeeVuxbr4jRHcD
SZP91BN1AARLPQlBFbmze+fdEu6PqCYnVEVGrJqF+VQOdFyrOCf4ql3Mp9FpX0dT5XrR4hG1fxM/
YI9DLSfoAy1zTrZaQqu1dqbsOFiIhotxvDNGlHX6otR7O97HSyS+GgUuoUVu7GMW5QN6f/jaEK6t
K0wObQNRCplyq4u90YhDnUnzN6GxDI35WerzF5pxmGVOfcAa06CQ1LZLg0MCrdXMfkqL0PxoJekG
C1c+AWl2+ZAV2MfXAoA3e+0T+Goe3DPGXxNhAbXdPICDUlehbneo5yjMq+qRtwoEJT3+A9LVYWuT
1nM28jZGVZO+A94Cd9a4Ax+KFVSt1gTWlIgnO72t66yxWLZ6HsEOEaW1IXjgmbkXElmcHRyEJcGg
Wg9D3d10eYiq1v3pRiah4triPS5OZ4SiWsq7hOUqYzU5LjkyMjOJvnQm/43ZV0pQlwZYnvXEyeDa
h1kV0x12yOWySuN32kkL3acJsqxUb65gldS9YsRpP40B76ReJz/IO3Q341wzwaVmkKE7JDlyxgtd
veAOAqsVQ+hCd5qEXZFWwWQt4i26lSsD25HTV4weSJhieZs741FxrI/OK6uH0hgpWw13jEeMIJB7
d/iLzrZ0k6vGaUlTSvY7W/6wJCSvwmJVWhFBE1aL1n5FPZ+j0yX21R3N0yIKJVSV3wZgz1PjliRQ
qil6N4RC4UQ2Oo3IzNzOClDEXJc9bf0oudlmUMSJ8uIOJvVnKQLp1iRERoo4aDL7pEGXBZ3UCICM
ptem6pCdEfsOSNB7y8b2LkJEdEgdR91bQPgnAhwi10XOq+q/ZdHjpS9dIlEGdTgaSVbilwGoXE7Y
IfThVHZ0NdQaPqeuJy/jWqtn67GgsV7bYut9vu+IUGA4CpMqZlVwW1boj7VU1iZR5vnsscjkOnWq
eCnVytmY4/TpWtQGUr2qGQN79Ilu9GKriuqz8BhXeaz88wvj84EEyXsF5h3CjAUXXnJwHc44OLmX
ShvHHQuwO1r0cRjVwNDMYZLH7y/SS6Yj/Mw3jSY+VTMtpp4PKxNWirOZkTDaFfLMGKdAPuoF1Q8a
3OUcL4HqEObJNU93J5JpGWQ1vm0sVq/avGRbGL/A751kp1kTQsEsNkkdoEsuu+EUOwOZRoKQ78Ei
HcRQV2ebm89HydoSbiJFT4rTHz15r7hjoS54SIh9ommemgnAaOcm7OmWeBvreYXzyRnpAor7xnLs
rRUP5LYUUHCdh2ocQkd8oJLKzv2nGL2Y/UN6pZlE4l0iCZjWulOFw+MQKZZ5nsbjXNJAznoblnRt
ijtNicS2zFK6MG56dR0SqlKRkkVEf891He9uXPKXSlSNP1GiesjkKpICNA4x2O9Elj5ohbOrrebL
U4X6SDO78iX2oDAvkfFkkGGxEI9vCpqEDZIGdZvF7o8S4T4FR8DpHsGSK6m8Szu0rNRXe2n0j0uK
Zg5A1Rtk4/3cjmJPxPqPIXfezNTewcE+OwjChQWwLivMV6W9E+ZE/RAjDqGXIyVOJq0xWq5DP78h
+9suKtJ3meMQaRQDwlR0dNeRTagz/drxwMbklMETN/NLDiNsBU02yJhMS513kl1xi5x7D/lS7gcF
zypKvWPEnOVDKmS5yx4QLl5qA+moIQrayjYmt8q0J+cYWWdw4Cu6qXkfUyxgQ2I9KB2ZW55aIwkA
239KxEsm3Xd7Mm5cu7dyyF4jo7aPXl8AbFAvFPeAGbbX7wNh1dT2xMOQJdHCk6mZOGpDCyPKiZaz
vOpxoZ8QVk3gcl22hWMfbcAKZYRrcfoRHSrZBVE+AJRwirCeH6IWtX5RzLu5MPZ5k9vHVnoIBDLl
OsppA6rEPHgzjjynaKq1quocuxHEt5brEOI9twvUeXhk4LlPBuxXacEisojwM44t25HQAKfmEwCc
YGkH+4/AFL9Tqh2+JdJDE8en1oojIi4/lYFNb+s5w6YYBoVNYHtxp9mlROhMAaqqnpwH3shC0QZ2
PchWB9c6mkZjHVMWb0dPDMbO4nh1TS6LGQOIUjU8sPM6pnmDfDSX4i23e4ThSb9BMUneucI6irXM
kwbSbl8Cmtyqcd37kYh/sRqitR3HuDeEtVN161lOkQHQUHkoiYnThgfN1bIw66E2jk4RYs+4qEu/
0AWp0w3T64uKvsRXbIE3Lf8sXBKT3JGMAIXETJW1sp7lEJ5z9OiOmdUwuBF1jbTiVTV6dmSChkyb
v2T51kEMeNT1L3vxXoopiQFouj6eCbRhAyGVxuzquxzqxizJj7EdiQmjOiAfDyIxaQSh9x9ao+1L
wZJp0Z1dr7u3NNZ+DlrQlYN1MAf1racGeKzc3rfmxcHBRBZaReJaBDRTpMaK9Xj3qEj4QPR3fTdb
IcLOlSsARDrWv2ql8e4u+Gy9n6vHj2zJZigG8GCNH7vxyYZ263vdPPqN3m8ra0YKMsdmgFzXHzJD
XvsV30oiDuKEyN0hi0zPOkv9TQ8XHRYrppaxq4+VGcIa8U0wAQRQa59yykkLadc9AJURzkv7RAfC
8ZN0lWJjOb9KbpVacMdrTCmLXftNYS1BN1XWBln4hOTSc0APxOLqoCuiTiMRgQw6BPAMf3pWQbZU
ElQuHjvghtN63+ZTWGMtwmF6IBn4C8EQ7WER7xMH+ZuST9f6WThkvE3NphDti7dGRuUiv3UeUuku
+akLANmqhTi5WLKdVTjPomdAqyiFLPqF63qL/fWIc+mr7jkddAPHEKYyJAvwI5QRrysw/wlZ8zJC
pjXr8l1t403T2I8NRH7otz1GWnSX+tp/sMzhfS4xf5Fo43tGd9GZS/yCbZxjo9zslzvHsZgXKtYs
xuJX7D8S89NNxSd1Q0+kj1NcDGFmGHxA7Q/0fm/SXjusiMP55LSmRr06EKxp3YuYF4zC6r0S2t04
wZcraZ0REBNk+GWdHuyQWn66bXOYKqDaeW8d6d5t1FQQasFK2cdDhf6nVw/oDuozm6oTNrhbXQEs
qbtr3KZPyVg/InCBCtojYmB9w+LogWukj+t7eGBfto7HvNPs13icLpXNm0OJok3rBwpMK1ntAyuQ
7Zu5ua2xWKruAHqYYT4mryJSw04jaZBBTcEuZdzaHoaFNzHijqZg1fq6eO2vRZrE7HTPBWbwhejr
1JUvhJ3uvXL6lURZE2jtfIfo9QOx7yPBN5sxTT5HVXtwYL2TqnFAYfo25hpu0Yr6kZWVwTDk75OC
VwrP16fWVz6RTlw+fA5sVC6mTtmUbcIBZRw00lh7hqxymOsMYgaqHZrEbd2/VbB94TrtMHTg89EP
eZXtu9HENmSg71N2ReHg/66oulp7Aa7W4AMFWZvVWoqpwkBv5wFt0xa/dxLiRPr8BXg2zzHqHsgj
26kjwNfeVZoA3WIwu/UHZeAbztzis2pAubTtHaEbTKxqRjipnLmozPmu6puPXjdPkTWT/W5RVpnK
lwm3OBspj7Yr67Jepe5Z5V8zZg0F85qVr7sbt9jP5m7S3E/8Z2/miBMsxRZJEpUbwiK+Nkt9Ugzy
a0OUHi8lr73CMU0mQhi7dL+SIGow6S6SDzaLdB9DvhnToiaGieF2hLnWJQYtW4ewLxN8PraFDjMQ
a2thKY+lYBdEY+4lM55JfTp6OJDRa5OKQw26LxWNYuj0u4Zduqkz77lVsBcRNvom3IKIn8hYDgaW
lDSj2uJJ8bsrjUtvkaPcUNVGJRzif0AELEr1rqm+ZupgNsTdxBDGrhxcZW8PD82y5nrT9KbGsbEK
0M0mYtsXa3ggBR2JuDtGhKSKO6LdBLvyfJsvEX7nJLkWIwzktZhTwlPYJgpDr2bR5DNKuWtHxKya
GFucStNHnImfZVP7bSJOjgBXwy4ckiKBJaS3HhWKpycSC3MBWKwZd6MalewV4yAtMOQpLWUpEydf
r8AJ1NUU6bPHjOd27DFbgV8/mQml6aJqPitcVjry0yAhSCEFP75BYUx2tmbo/lQMLDzpmCtl+o4l
SR4mtck2hZdsFE5938LIvMGgDNkhsYiyz3bG5PqLroBshs4WFg42DJc1EAS/YbSeY413WV5sS3sv
819EbBnPrqBD0HaDr0dqSktTWwGZsJnSCmUYibNQ1PN2qw0j/dlEZ41Bi1IhJlIQog2MDzN4pycP
C7ELlMtR6sYNxU8o3uzUYyUUkRA+Fpl9O5KDaV0XHI21gQNqqVxmOWwnltCIuCTvkLSNJ7w2nq8o
D0sNmrNzKEmQmCJCkSKiK721sYNxIa9iP6mzace8aO71aVACs8fw7lkO8vOofJmpwrVx/FR7uAtR
mL1mPWp3S5rXkUHL0xp9l9jeTW3MJ5QliA9dspjslpypJMal14/WQ92l7WEWhBEM2fjRiviptyM2
Q13MuBNTV630NlS77tHN8aENvecETpBDb2YzeejnMt64VID8tGaGqCnUb1vIEb7reQhSTJW1CGi/
G+acraWxWptjwsA5D86tt4zgnfQ9KATWKK77u8QbuCkZq+wF7PfY2Htk8XOYwPOcFcgZse1rLadh
X8bhkJNbqxZ9KEZyyj31hQVuC0sLSfzqimIFkv8aKkX3K/0Z42NzwJJubkA2GVfwCT87q7A5r+Hn
jgIINflcRQRh0LAwTVlzziZP1kSqR+/1gH9farrwR8MbqUrlOz3nsNnIfrsZX6j2D8F/sHcmu3Uj
f5Z+lX4B/kFGkAwSaPTizoPuvbqarQ0h2zLneQiST98fE9ldlWgUqmvRu94YzrQt2RIZw/md8x3d
fyftdBpl/lt31LxDOF/NhvvDdovbHIZbt6z29UAELBnmj6JN45XrF8+j4i9l3mkfZOVB1W8czXn4
Uyj9TCeKswFMBzndQVAIU96BYoYOgMk1q1d5NeKG6MHvAe4nuTiZFTGEHXUh2cEaSaEqAE0pEGW7
mxjOB2TKnqkqfo5HFm6VcIGDBHSCln03AvXcyuDGsQDpf6Z6s0jSlZlQrck77rckEeSMb9FPERSY
QzxNDaE8X6Glt2b2FfGbUzv8k0+/nam5KBP0LBFYHNdx9STireUnHL7tfT4l1wrAXaM7ntjsh8Nx
1x3Hh5h6G/TfdWVgCnBcRe+7HB7T5W4gAdhN2aXL392RyWEE+4W7Uf09ZwPXlJxbCnKX3Kdmfxej
fme6uM0JRjVCnQy//zPzJRkc+9sbs2ZjVnwUHYKwrzexpEax3eLL+J0TTQ59OgFdbPO0pdN5/yAW
6ncTdNt8cO+wdrqZjJOPL0e54QWk22er0m1Ttm+c8uxd3HvXflQXA7dE2HBrXZlW9jL03UflBKfl
YzVOeilK+8yJdd/JDywtayYWXLbGk8XeCjRoH8TFOcxvtSo+fDE9atN98rFtd8HenYcPIdQD30lf
UxMwFXsnCTatozinsPrI7VRYe8ESuSRACfI624xFqoFajIaAi6ScuepUE/Zwlso4t569aX6J2+Jj
ROjoZLIhcPOQu9VZ6vI1s+kKqja8pTSVNrSm4RMZ/Zuj+9vy/eoNBN08ufEpr2a6pmXjHnTtp65Q
teZkoA2356496hVI93llBIdA64Oc4gQTDm72JmdnJPq+rmRTI9PXdzfr3wlm8+Vu2QHEExS9ldGB
RXfnRzdpto0sd4yzf9CxgHErqe+tfy8s91pP0bHxJoJQ2b7gWLzSNeHDXuxcgEtBX+BT6WmmTw2a
5RpqefU9SVCqDCxIFJw2yT7LkrfRGH8zVVxnObWFVRc+SiwxdBG5aOEDVSbN2c6YG7Qg+aI0wK0+
2DfYB1Auo9+4ELtVVFceMtkb2jM9hFYzrJSgJ9E1xc29BvYnwtY5mwaxoSBlC/D+YPrhvtDiAEGa
g/6G0l90KHqKxm3HM2JY0yW2rX2cRMc+iV5EwsHbkLu5m/aw3w5BYICvgtzsMnWp8O5WI1MlYi1e
EK4y2mlgLOw6jFYsuxQTlMxtfPNBlPE2j4vn5cHvjOSrzFA92NPK4aqncj1ISgOk+sjSiKZQHxSC
s4WM/sqg/UOnOKqcEf4HkVa3Nt/J9zkrc/pDuRzkHzAKE6/8yiKGQNuuBqFrFYTdg4d6sI8CPkfe
0oljBy8C9aHi/FLm4jrG8bVIqi/G1z/a0TsAVmc2Tq+sWhxCxaZg7GkbM6ABcuisqF5n/Jyt9nef
26+T8F7bCN0dMeI39Z8vU4oF3BDA7es35pif9BI4ffBpOsGdHus/aR29FjjE6N27M3M+6nxep6SI
cCzu/CK5mcPeKOsXN+o3DKl2ZOd/CpO8uyupKIu3sdP/QoY5zN1m6tOvxjCfmqz9kfPWG0X10EfJ
h6j0D91BIAltuaG1+ZDm+ePMCFaWzL5D0ezqlA0op2E2908RJZ7sMUfPDV+FtB5LvifS837zd13V
pNijtgFx9GoySXPZP6mLfUzGF+ZL38HkXYG2XKG4fmbQP0O1dJGGD/E8Xj0Xz4lRXGZpnxtZfceU
xjbpcHaM/kPyUrkuE6iJ6tmYmWlq3rM2/lGA/c3gZDG9FoiQqOayfXcMaExxvDERG6mhXkVxdY2U
D/yHYYrZ6Zucq5sWzamb5RXEGvIz+yVs5TZIH3pLvyAuPROsD0gNhE+lRS8wVTgUA18MVk+HVpfJ
4/XMKVWtuD89FY42Vt06zJEi3b47u+Vy+2qabQY/V91g2dYs4Jhf/GIimMrDQv/wYxA+WkGziyri
8TH6FeuMgVTSQu8LCkQrmuSDnJ6SKah2ZdMUq/BmDxl9W8ULnM7tIEmRlg6QjrLedmZFnfa07dUz
UNSjMxERrlD4Q/HhTIXcAzJ7sdT0rNxFjdF04jgN7EP7kkzikaqon3KMDiFljVE+PwRMUdt5vuZp
+0mp6RPFaz54ypVU6n3yPgN/Oo7O+Ks0KiYpFqDHNn0K1t48vmqr/tL9bmjaB922H5E9/VBU8Oap
/xZ5vHJY+jK77X6RyrnYqOCMRfYV9JIlI96hU5XHsROb2AgPqcJ3GnZMNvDFQAg5ax8tDjbkmJaX
JJpB5nBGYsXYupJvk67ylRpdtcJzQ7O2Vexqjlnrwn62jCncDMp6Zbp18Qs6wkN14o5zANz0Zg+8
9pAr+Ojz2UR+qOBeFFbD44fw5NiPnHm/J349sCjH9KfdaN3cOn8ps2YfgpCd4/dW02fiOLulCYvp
AHI5pSpVxL2u2hlGhEDt+FvXsv8snzed3Lspafeqo0tERfGqEVh1lk+Y29azyh0CMJH/MIb9kx8V
J64dhyCKX0UOcGco3xTJ8/niWDAOgtHmHhIN+8zxzkbE/Hn5TWNev/cL7iKKv0UbdSuQYC+lqO59
RDvEWupNVhbPHpYSu583ae7/FG1Qc6p1nsx5Zif3N/PSbBGUCcrwiAnand/k3O8Tp91VRrtvY2/t
2ogiRoPIzWEHkoBAYG5T40KaolylE9vBSAeYGm4+NUKBST+bpiTbUJcplMcw6ggMyaP9MfSI2NPL
MMebMZ4OnteTrf4RLlKmLr9JJ/9EbT26BTPQyMRqqX7W/isjmkMYUF5ve9h0Aypl3frome0XcZCn
IE+2uo+OXoGCQyc7n4AK2jYD68USWeXpHglv3U/qs2CaRlxivmVZebJSzZcy7e3tzK5FY7cyNoqx
Kq32WJ8HbANMoIq1LVEAxlz8WJZMmEMfbl4Xa6Y/7tpob67XUQKfmPDgy4MvWB5xTVycCSoe54kT
dIy/PI3/3/75n9g/BfZP7Jj/cYbiEhfFd1t2/3B+/v2n/nZ+ev6/bE8CGndsUhDuX/GIv5MTvvoX
CXSqMzzXpCkbW+j/tn7a/r+kR9WxsjF3+uLfWz9t+S8iFaiMuDSpHuAj/1esn3yafzo/TZ/whimU
B5eN6lmx+F3/fXRCRqmfd3ZhngvTKKO6ZwA/NPJc2tyDt1NLEdiZOhr5TS3YTMmupzJPrhoGrOoF
tztBC2VJ7fwmzFMar3YA0AUTdNO1f8LJzsqvWcnB+D0kXtCsUPzok5YzjbBjNYC/qj3PtRhcjcpI
NmXlZu1zg8gjQOK17VssCmIQCTOZ/jDW5CKXYJtV7nyKhYNfTtSP4TpzRSjOVTRkt9TwZLUJtEED
zVAa3TIO7ClV7alnZPxUEDJemV40AULuqafbu5nniL3AXQgtKhEhW3ifFZ+m53Ft6FSYUniYod+t
fZepJg780GbOB0bS+hbTCK6vbQ0kOhTrvOJUO3ZLWTA9MDAu+tbFhYYqEN36Am8bYN0u89uWz5ZM
WAWi0MHulCeZE1tf+dB10TGyUthmZpuZilNNmiZHHeUaWltkP9majo4Egw9IAI6YGEYA1kPwK4OU
NVVzaDdsP4suXTgs8+FMBUwOTNvOaPucI/ylEqNFwPGFNNjODFosjK0jc4m7zJpO6KVcaAayl0uB
HK67x57OH/0qtVfL53F2rehXYpf2r5C71C8TUDRLc1rTf5s0TRXvOodMznpyZPfpkp8NttLXwTX3
cVkKzJUvhUXTHWZTxIc6oa8IeIxZems+rTiltrDvhZvJCQJPXdYYycoiXbd1oF57RRPirhiqbrz7
vcgsYmNJQhxFTMxXmoZ/KtEECa11g5MLpIw9d271OI8t9oPYnTinNXVbLcQ50VPM2yYl0eQ+mtuJ
G8JQPNIubnh/HKW5Jhn+rNPF2ZlyvchLPyd5ETeK+PQQYw4405/N6SgXLtQDu6pmr8IYN+A5pQuN
FZ3udNvbo2KDj6iyzHAYILY5/Y5VP4kDLb/sly6JdfNaVYP1TB2fSKDpOLq+ZB05zosxhqN6Kxzy
S4epxinOpNOBHwE7ze1n0i0YIeZIM+JpkeZ0T/h0ggvnCshX6RwaHxVesedBSflkLYMeuq3QCFNb
EyuawgfeAGBTnePcLK4UEf/OLP6d2SJ9MZpW73VBibVDrcbPenDD/WgI5wxBpQIwYwcwCfJiL6qx
2yow9ozmkGVWs1k0W0Yk8mw3Vn2JwxriWwG7wkhnOoBiY3zJGlfsdeyV51zV6mGMzBSjlM43oaVc
IpwYgxlW6me3DoMNofxpTfwiOWBqFEczCJ03c6rR0yI/dqg1kt8YIKYvCNvN1TYG+1726DB6mEkL
W1Zxr4oBwYiDCOSkob17Zdj/ZEKAC8eM5XMENwChvsfu5WUjvzGr3X07ausjL9oYs1ACZG7iVaGR
Pd1JHyd86iHTokkX0DTjMCVaRpy1MdzwIcQojjJZWiABWCFv1FUUn8Vok7Lp/RCrWQMJvEmCrXJU
R4UFbUzzNDaHthHEhPqquPtAFGmN6BD8eRT3g9HOOxsH2+NgB8aXiKeRD1VWb1Rgdo9en/RYno2J
CvhkuM2AcI9uYmasDW63dpzYfjSdDqUNc0R+TalkYM6YmH9y/NnPTZ+3V2tkMgHchN2Jc2MujnY7
G+/QwelbHVQGW2GasBKbUVo9RjJTd3+AXjNNY7gRcLTAl/kQxwcQVEkJMxegBAgVaQ4dRZS85vTJ
jU+zWy9mJ1yCLml2OiKmajpwJ/DWAnTTPs090IothkArh72wintFLwYGhl+9RYAqV/TANWYfPQNL
dK/N6LR0TGPMD/j+HERcOUdG++S1qs7Y4Zw2dlUk5QnD/XhIM0Q/LxfjxUhExm6F3OMRUOPPIrkW
gaN+Ndom7TPX8YMpFwpSU8GFFLLaa6/EShL7NQq5y4S84Uqgpyp6DdpsukQ9WGeBNL+Dtjjuu4Qg
lU9d24nZypJizaDhjCD28yxm3BzbFG/nk/cGDDLZ44dyzpSSwIhI6SgRsx7vQU6HAV8DTKuySBKw
AWW5980FhYg3GzQE7F0/YAI9NYSPmJZUOzAqeHAbO9oZoVUca1HSxeAG3VVNWKOcbMIZlJLCiDK8
WB3rJv5RBeeoHKzD7A7BpV/cdpOkFIYNgYEwbzRznDkgwlbhj0dovnRTI37jWWyu8MvggCHtk18q
8z2E1ZjxDFYvI59bsFx6PBppbG9xXgABS+iQkty54DdOwzFaTOVFzghZSkkC21TmER+O/87tyn3F
byZuqKb9hg1T7bWfZLu8o4QrMBZ/1SxZRLvFQdexW4CrnXa1jcM4wjB4tmIz3Rmz0Tx53sRI3+Ga
l2jqg4FKA1/MZ5jdsxdizHQBcuV+cupn2saSodc3z8iqrdHnw9Vi5djPQYKTRrnBeh6HcJ/YMtsW
sUIDNWd8EEaUYFmU8QhNQg7ruAiTE+Py9sKYIN7kFtN7zLLZZvQxL8hy5nFg6IFonen5HDIpXTZc
c1tDUt7kMO24v7szuhRcIrT5ca26LNmAScTla/Fm5HYx7ZK8aTdj4fMMx02z6xDdIA1puq8Ts99H
Ol82EA0blf0ONpPprMfK4ikl5rXJMFGQFZsRMilrTLbJYLKHNmb2wOyofzKMhKKRfCamYZUuM4cY
fL0zLrGImfxnwzLTSt84wD5ytpAox21cuP1+Tl1CCvaUtl9lU1GHbg72vihHyY0aMx4lUUQk7oOb
VcfM87isB17bvFdLAA1/SnW1s4SMXUq1h9okodZi16ZtG1wwx0FrNBmg9LvIcj3nMFqjnh88vkgw
1+rZ7V5Ge66Iogc9plTSPPrCpp6Va2kx0ji79gRVhX7PfhHtlyHNii6DyQmQScPemMyHXnn2zxCx
QUC0+n9yC9p/l9ev/Lv978v16ldZTQ2KQfc//vmfhJv/vn0tkbJ//Me2AAI63fvvZnr6JljPH+UD
hd/l8jv/b3/xv33/9VH+k/uNdMVSx/Yf32/eMSD8tzcQyexR/7jj/P0n/77jEAFXwiHjTY/M/4qA
/33H8cS/gPpDVLN9GDHLZeff7jjmv5ZyEJOrB5FKjw7Hf4u3kSknGG4SmKOwCAav/1+54wjn/6gZ
8KSrLM92lLKoj+Ae9s9LDlcRDb8gjI7aAPnkifI7H6je5cRzg0XXnLVkHSBwRNC277/gf+XHiYZv
bfVXFs/Ido+a+BCg4n3cU7CIPBpsHDsHg6RhLLvqK05oDBjNYlu6IwHWMPwLHE+II4nILYXks91z
Nc0cRs2TkCgDhMuMdS+adBvo+V1/0a/I0aqvFf77Ayg7vVFhddDmINZNmdY7kwKroZObua4R8UfY
4LaRb4aJHKoo9JcKiW7Znt4lLnNFKxjh62Xzg6aebFapvwmjmrH2zO7LVpfho43wlelMWEcQU9G+
CAp6B1lMSeq6W0s8M8SINzLth51pD5cMS8vjyAVvyxJrb+sWOFnbJajYEwjAquNgMEomNKhF+Z5u
Ba50oWFuszglJS7GZzJr3g69qaFFAyQiiSrRfzVTRjybd+GW+OyAmVDhBtT+hMd0607VpdFjzyEc
gcStU7WyDFocwoz2+rCucT+xBOi4T3ZRtETUq5AaoGl8kYP3lOOZassMfc/pSB857cXDKGId8kpA
xR/0gxkZL5awtlPXvrmRvju0WQ/a3VHxu3LJmRUN3Rfx+wzOJ/ZpfDaNs678m1vOF1yar6aqvuwi
wE1LuiKVLNkpBQpG5x2XX5VZiGIcKYINDHkSv1xz82FolDMFNS372sUYyk23Q+OCtEj6z+JyVIBq
iywmuu5Jh+SBJ3y6YelkZ88cLmIwP+KyTR8ADMG9GrkCR9hvKAhfANYkLbMSlx0pCWvPnLRCHHdw
XVku4pfdQr4EJJq3AhsXD/iqc3K8QjVepT7O6o+ZZuGuOHewx3jgyFLWHk1/lTVTVIlvt5xEuM+w
R6+98VeXhy+myKudheK10WF6EQ0KLzS4JzakB5ixd5FBGk8ZTtb608b5v22s5IPNork1MItGum8O
hsRyxkF8RVmwt+3Z/LZG6+/iBoPFaKTRQ+sMJG3iaKeZ0aUmlpGwqE8tUNSVzUFSArwBzeTSCywN
ve9DHAx9/w71Lz+GaInM3xocA4rXbKzwoiuqaRoChI1xH4RTb1Td3CKpLyQK9xZVbJsSHWYZNmyz
XHlbK46eU8bva/zdw7qDCVhX6trZeX1RGBa4q+vX6MUW9DVyHMmFsS9hLK84S/9GwluSmuI3ZYTX
IJiYlnBbtOw23/cZQrsaOLFB/Se45nXRh3YeAwyUB3+MDarQse93gTpEw5rX5iNJnmonQ+VlnD4o
JsKwL66qSeodu826md4La/yeKF/YR4Nzrd3x2Fu0gSurXpcOM745pTIiGofHaYqyTU9J1HrwKDgB
3bZJNHzqzId7HIR30q873wzu7XALBOVnjY+k7GRXVZT0sadk4UUFP0nZql4P0F4hejPX8B1onFFs
HlBDccI7a6v9YpKao2WqzRSaX+a8fIPCOWJAbO9U0O/VELGUJZgjDK8Y1k7Y/OphSG9yokCwIWeO
tr54yPQwrUwZPFH7EFBPkp3q7Dln7yccQtqnj+xNKSOGJ4XLP6aMvitcv5avJdCmloGeVDcZBsNp
jPSb8mWObf4tcBMA1CMsQ0K5cRpRdicx4FdgH0YSzGsPF8oGDmW1zaIIUFPVPeQePLPkD4m2t2xm
jpdPfkf3hPjWPfaNHLLixJmX1h3zReV5u9XtrzCW+iqdkuZfChkw15Y7KWBP+uon09HlcOpFG1+y
YCHeStDsG49zpVfTvDSWA0oGiM+7u8eC0Fw6gx7uKqaGLmpi4PXOtHG7Bge24eNNoF4iVZzQU3km
qeicuSCvm8h+zSszWcmIA1ubHKc5i/EFkq2EH0kdIhy50DJWeUyeKBLU1nBwv9R5+Fqbh9bD3jno
/VhVGC+TghkGu2RAWd0996GTYY3kLcj1iavLsLE4KjrOpl1QK4MYIZAMSy/HSPtjmiOeW0DPJy6e
WbMQ97G9zan/SavRcMj/+Fn3kSwNHSpjLD1V49E6jNiuKBqYbhnW7MwFUTGyvHQVR22bkpOmoyuD
uXq2Amm6l24FrMSvI/oAwjMJKvMx67mWOpJnJ35jL4A/myI0KK5LeFTkcUCe4LBcP0qaHR5Ly17n
EF9cG9fAyEDk7EZGzR4Zk9Yplo6+rnyI3erCaEa6xs0m35dE7nBVBFQY/5pn2/Sf49aQp3Iw0kej
N/kh0/nRwK8ekaZ1ErW1up5ATv2KJvySBjwoYfoeYbtbodPD/+WxtMZ6pxGHjqXC9ltTRpiHzG+1
9I94ziDytUfW1XoZFtIWVt88RI07Ac1Ke2tZq+YK2pkRKToU8UZ+XzP7u2nw77M0pnsA9fNkT/Pv
ntj8CvOKt+NV+6wa/YR/HwZ3yPPv1wMBTx5Mzhwagi5MjXmSJwxOouw7uGwlDgYiSmVabfrCjzal
BqxjV98lnpddvRh2+8ldw+H2lrIFmIB2s6Ng0tqV2ju1+Eq4OUU/yOy/NL2X7gbbfgo5gBBoHSiG
gP8WIbyC//PWZm4eg6l7aBtmbpLtKG4M4u6YJdgUBoLlH7GI4UaS68uhwrh5eMD8kt/MxttGsQg/
a4UHidqy9IDFEmPmHL1Cm3aAh4rPKIj3evbZ4JO177fju9uklMMxWLNS9e70444PvHZP4NACvP8W
Jv+uEAfX7/rdHPINLS1r2I3xl2PM+qMxw1/4cot94+GjE/Ls1jAdQdwAQDGktYK88DrgbFKx5z4I
l0I5PwSi6SqfbcwRbzmWgZXrZl9JZ0IQQaRWNSgdpyZOZhjDUz51bwTe5w3iR7gpO0qS5/o4hX5H
MD/LeFCH19qHlzJDwlu32kgvZSL5KGquLiRqCcesPFH9NIklXakRXhFv6Zh5jclphvSax9EdRoFz
TivnCwm+2VrNfI8xDcdOuHbn8IMkMSti/Qm+7yVNOhuPZQAlMBQYakejPUwoaC1V6wgO851sR79C
zXHugWf9yXNmhRT3rDg+eMeG49O60Sohm0CI30tGKOPv6fKgNiLZKb7PR04rGbc/yrIK1rpYM6HO
2zrcdi39fV7o4FBLKdyuJ8wqmGPDQGW7Wf1MKBJYjTpDvqFeKRU/DWPE8YytgNkuWJxQfNqC+25r
xNQcZfHZyn1CXnNVr4wb4nO6LrimgtstnoIabLKCYur0yVMCG6mM7oGd5lvwrhwpMxsOvO9R7TE3
GIIYTiuNQNDadxpdGFP0DTAhE+dQaz6V41BcO84+Crdk48NvMTWmA0csi3ti1/t5uTX0T46p6c8s
m7uSzgM6EgbU2cYKQmtEZiD066AmaWW0uKYdlI1xHIwDK1K/ZW7S/Mjt+p0jL2e7FvaSHJhng6x9
7IsJP49lUP9Tknskx/GSdrgOMV/2FyvDZdRKw+Pt5utN5hVGVvsY+mha9tC/jsoaOJYz9Y+9McA6
k4P2MNCdbClX6SjDYzePekEn9afM+MMaA7Sj7vNPZyCWaNEB1r81xP+puuWQaovrQIoP6I8NzAN2
58qq8EkOEi4vjROMHppghT63Uot9uTJmb0cACGuBodIbbGEKfaq+/qQ3hhm+rPrDHGBxlgaOSqag
NkMWjXlI0ZBYXCZMeeSeck30NPk1eJxGk3S8Mav+7iV9OYnthhuCCo8ml40Hp2dFiTFv5aEH29S1
juHySzx/ZWC3Rxf9u5XD2fR4RlNegE2UiZ9R9mDkDp/KKONdpOt37Dvfok6faKhjYGCAOu5H8dBe
bOAeRV1cCguofdkiTzkJ0lBreCtlRliFe3ieSf2Ztw1elol97xHiCmw96A+pf3eH6U0z6TYxLDLj
OOOt/OwMPGJhwYgsnv0liUxAABYTs3aabezNTC/uen5yK//JGcMvDDp8hfF/OeQkBFH3JvwKjP7o
N0suFsM11xtl6wtRGUFynSKCoTyVmXcyM3WkcxOD8ODuKVLauK17wMr607dex3neEmTbUYr7A8Pr
mt7iV9ptsDHSKuG/BJP/i9PnDzWwhtgUlBjVD2Fd/KWBgNxAwtbioUalQfE4dyx/KnicGdgVUfWG
8L2toGTPXvto++Gw6jL15CTzBnoGHvilSA6bJCk5kBzY+dtwOC0fKsnye2V3AEblycLVvSEdRX7S
GG+OGz0QM3pMZvFRNOUh0XrtDN0JAsOhNZAWnfIMf+FKdDtaWSM+GdYFgl3UP3huvRtDcS9N602C
zAYJjw8ndX6mZLjL8jIbnrmK6/SFCvVLUjW3CeCGCLJt6/7oK1idafkQegFRbzK2DcP9qoofPhra
q3eMcV+wqR/6hFWZqHIp4IMm9m1s7M+6rF7MVlxATl57wt6GwaFQbcMx/QS1wnmvdn72uf/A+Reu
WIQX0bL7X2Pt7iaOOGmAUmplm5RIE72I/CPGFVY7HrLiqsAq5xQV+M54zwJsmkHCtU+oR8dD766G
lxgOGEU0+V/fGtL0i8UXXfzgkxwoSZoaon7G3p1uiKLhdlE+TmO9roz8NJbi1PnyEMkKA7N49+Ze
rxPWds2OtHzNDe29NFSY+mH0ElSXQVdfytzHhQDoNqDQlpQTQLN97IV+CwfgVS3O1CChcRrh03Ze
OVa8oV5kHKO4PRtR8IgeuQsTnFgMpZ3np8qNmjMRgn7LvK5a9Xn6mMIQOkrNeQrF5WKkpvkQO+2e
XtP22JHgGKqIE8DMPQo73crj25TRNBQicyZuS5WKbRAO9ci7dmCAQ9kx0DJvALIXsje6Q1vlF1cb
z3EpdkYEg9wI7Meia+lNFDz4JWxtMEHBuaAHfE4V666f43atv0uXv0AwDVjtvd08gm9pa/XuE20/
lNwiIpe079i3HY+Ej//fmK/gN2jkDQ7U13J9NaOvhmMdSdtVkFFcSWvVgwyrPcoVx7hQXp2I4ZC6
ut6lqTkWJJHgMh9dODv+VAP5GX1sG45xiWa3cAElILO612mSxKq5oq2ooj7MVfmzigcPiHY1rBH4
9JJg2OHzeaxCeDmdUb6DTziPCudm0Jo/G0NPLxAS68VD6Qd0MQed82KHMICi+nGQCfUsptqryXiB
nn7rpX4TLRIMSGKw7xWYo1jclEN6FMn4Ez7t4gqK7F3nTbxttGLn0U40i5Kd++FKF+mF1jfvGtMy
SBAl2nkAevDKRycjzXawzat1WWP5ph/wxbFaNPNKfMqy5BANdnBJbILZ2CRl5hylqchFS3NdpuVX
GSzJYkBBs3pIfVFezTDuXoo4PQZ+sqVqojtnKJ4bx4xO4bw3dYQXeKAkgqg9pUop8ruszoWFo3oM
be7tlv6dY1dYZwr3cDQz8KtYNiykTlxpFN7owdqOSpwpOuIlG58TUPUct+DmFd2n5QHu7jjYaIzX
jKumo2MxoAmd7jxFCGxdH3yEtkvMBlqWTs1dgaFgMzfSOliNvpYxnjDDQZyM57LiRvEHNFW17uEx
M04ZPlwgrLD/nxlO43Vrmh4bYMIq7nMr0ZmSZ7+Z3Z2ojHufiWLD7063keDilztqTwNxemCYz+2O
3gX2VEXZqkAQGFpuCRzO/ITNVjPdOKaOc5hGUq8RdKyaqmSbiSY6CvJGbk3D09j/LqUeN7otsVlD
A5aevNS97cGkMqFm2DTNip5zQT4+dBVCZVa1V500j2os9xZS7EqPA9NRA9x5jdEUKTBxk98zfrx1
yoUOm571SwXOd64w5uksoE/LU8l5qMznxm8PplGBM+/Dx84M7wxfr4E38FT7OADtCaAHtxzOgmO/
tiClrVIK/mg7/RW3VA54yfAQl+FltoIdhsDlFZUUXaoaRExVGuswNY4FbMS52M6D4gMzWB0nEtAm
8mWRQOor5UtvlIgDk/FZGELSrmyemMCScaoXmL9pXAIitAFmx9h0a5wknNtMuYQbB3Ot9vjr38o2
RI8N3W3lA06x02FtC0n9T44yWoQAjdptpBv/t2GKV3dGkQJ8QhrIGWaSlP0hGPJDoLh3GDGjFEXJ
zykEnlwtWWLFaHZbkL7tRqD/RN/XszjWwUNG7VvX1L8IaVGUx6O8XJnu/sImV8sPYVuJU4SbZeda
7aMcO+sQJ/gsgRiesLurk47av3/WhM2CaycD+hcyhRdl4YlynXc8tM+/fsgjQtOTLdwTFgcewL/+
Z+fTQCIkr3rLmgm+IO53EsHqmADYodnJuiLIOLTy5e0JBk20QZoB9PYXLnn5QYYhNsluoTST4uSn
MmRmhgrDZSOxDsC/CKZT5Xaq5uGgl/y2XAhScrD5YfmZ7jjUeNORqhKWexezeXnPrTpOti1J7EDj
jVn99dmxWjZ4PpcOw9LPNmjyNBAvn/evv8xfP0MSL/m2/+P/cQrdjEklDq3DN3FYwuHaV/RSNv+T
vfNokpRZs/RfGes918Bx1KI3oVVqXRssM6sKrTW/vh8nv3uz5rM70zP7NqvCQhBkEEGA+/ue8xzi
u0VI3YcytDjlCpSzLMKcaSudlRdTIalHRXwOEa5M6+Wm40bk1FaKKOEq1HTUcv3JhXUB2sITJHOf
+yKKSdxgB9sorE5h2RODFXVybSAUOi2Ljl/NdhD6+/dDwnJPjHLx5YiOktr3E+Vk/vWq5bF4wiUy
tZzav58YChoYJuDpFW2zIxVAhEQyKU7fC682IcUt96OIgMJaFMC1+BW4jdeSTdtpewcze94E7aYN
RELbv3qApZ/h9WE83JMGOg4UsKvMR1JAlKUrI/JR4QEaHfAjvSdauG7rNThkGEHJEQkHwwc0W0XO
ZCX2UH4h3SRXJIjuspwL/zB1+n3q19dRyRgp5lq6GsUsuJ4O0cWJA2VJoMhri4Tkmd7+ha2uPSBF
OTInsC7dFO3r1iUaiKqUNj6IoIKqxeiWKiRAdInrnp/hxtCoKtLefZpixDhygpPEQXmOpfkZCS4s
o0UFgsy9R8NPy4tWJhTonXDLOfo0BaO6COBbQb4jtoXf3UqUZmd9DrcGWTG7Ms93AK58rjdmfGgp
Da1LJ0CF59lrTnMwXjBpU4bRx3VG4GmuIygo/P6t0pDUjw0RwtSDAHl3Q3bHPNFch1bpHFO/Y7pU
OySD2Cb9oL0WdywKBnEi+GDum96WmhGhB0k9mjZIvuSwqfPyJ/qFG1RQgRSHylRWlWmfOtQ9CRhO
jLZfJbX5K9Psh5pJdVqV5zSd0qM5FZQ+pb+msXxlmuIpqQDrW9YqI3QFhXBN80TZj/vxEdzqCZ5t
L3LqLbjh/U7ew3Y8oje41qNpU1bFM8V45vs52j18nk8TBB1zLsiB6vof5Oncqj9bugatEuQ/BNHo
tPzjn3kBS4QKPo246dWvSNf2TXgEevZgSedFgg7jabAyof6K43qiBlX/HGrztWUPrZjCCLylldmJ
5i2cqGEX4qFuL0UX2SsKldiSpuZF7d1aUm64SmybxLO5fXf6AMU8g3Olvae0e4K2xMd0HQcuMzeJ
1dt6LH3GPzhHuVKm+d4v9aeqHfe9mJklRjDghpbhFfNcKuBcK8Wx1KV2blqcMqO/tbACcj5zj6Ii
OgG/IudGrvJVhlQ9yn7Rwwe2VoG2xGoIHrReI8HkammNuOPqeWUa02MpvE87ALfdlNSgjG6AITI1
7Y02wTjwhopxH+akVgtrKg57AIJAQzTHWpuJwlmHkX2bU8UsrDlb6fQyEI2jxqhb0p1ndoFM2536
6GgUme8VJt7e1H5cY5UKN8KnCeF01qtmD/AP7AdDyW7sQl4JWnBx32oE/1Lz9g0Kvn51VaugHvV9
1EUE5yCssZEWzZUxuS89EYacK81NDpARBRL5Tz77XOFOSvvpM6mJiNPSLdaUYN8O2BylXz/aEvc4
DVEGNlB387LcDUNV76jXJHATrItBse5gO4V+Stv4Y8pdeiHNXURKvINGjpyjZDVlGI4CC9Bf5CGB
SGhE6HyLG3MMVnlo/phLl6/HIwpWepfZq+79zvw5ZPhsG5+aawHQryTyEs8pe8hTUYQDJUman4LA
7MKVzzYixrUf9fwci+faMW68qYdymPTDtpbku1XPTLK8Nf1+dx2kkpDVoY6Pnh8gHmRKSYbCIx11
yUFK8dcbHGZuJsgDB+FPnKDianqGzrhfqjedJMINfmKuqhFfiVufLad40TWLeNos3VBGwEnx0vTV
UUgoFUZAxhR4IGjzUqGMj6iHjAMI0Mc4tKqda9dqmErzztXkPggmxsZaxYkTUzgu9ZForv3U2BRG
BBEh7oFq9iv4kWDnu1zMz4lDUndt/6gYgoGbM7mWJpDE3fvKsz9ch84Nhw0x2L9EMd+V1a0jiu0k
KQOOKglcPRFbCY3gyn9VB3xNxkwXeQpvcTSlCqQjsSPs5F2SOBttit/hMR88u9jx1uZNZ1OL8wb9
dvKpxDBYEBtrGp9CkjUwtGv3WZJeyv5DC5BEuz25RZZ+RMwp13C+zJUkcMu33K3ZdCShQV4SpQtF
2/E2vqkdwKYi/4zubMe+NdP2Lu+0VZ7b0JvMm+XvkgSBjDhJQmZ76a52ivuw0YuVQJVgzAy5pUpo
j2zHh34mGBEl066T6ZMTjh5d1wDydz790jyCD10RcuVRc0Qgdlxeqm3c3TcOv6Ved7Bm1TkWF//e
NpKNOaFUzuS7Rx13hUHls+S8NZDn0dTVU1zF+6YOz1auXaMjPEUhZ8XRu3WpJsEZTfjpgoekC/uO
5O6k4ZiAefbbTT909M0remePOdqHBuWvTkQcJBG67rV+4OSKTb6mwgr2fx5q0JecWQY3ZhrZ7nNO
tFpevcdBBjBtuCEge52Wcj60xHxt+syZt4xBLtjiTronHy1dvpQFn1nGDjC2PEaTA0GS9zIFqBkm
Ku8lUoqSNgx+SHIDzGRL9/UUk6ZCO/BdhwSEtbp8ivvx1Ef36DE/9YAxjgB2MDT7lN8JF9p92vY3
OhcD1Ey7Wk7HsqBMDNEYLG9pQCc36LbXkN/jiZ5YGYt9jRt1PRXiyo2i7aTL1wrhLd0r8sP9Ftvf
hAtrSpkl0ktBGeZU5Vvc9S9NQoyMAGVghlhI2zi6G1qYIS4VpER2r25abZu2+agm+QNjyXOeMizo
oqfK7t+kk4DgyRErpmW+Y/6Ia72KQFEMyXvYmjsEbyqmgEZDXn9YfJ++O5IJQkN/hAsMlyc5uNND
EGvtXVzol3Lc4A4kW7MczZvUN9I1V5octIQK2uKnVBDoBGtvVXaEUuZDxJFgwezMohK+YYn7LtJp
eOHN0ozkva1QBMDTW9EWM3f4F6/0jH6x5INBTgBAuidlZxDBW6PZO9TD5xxF5Eq6XCmRkJypvN7i
yA1XTghiUb4PfQL2fXp0J+OdohnghgFvI7AWrpf5p/p9+5gN1w3Kfkps5Tojy3Q9SvtR6s6xDwla
jpCZY7meLpZDp82tyWmyBZQKFG6HgCSjm6ZLmIAK7bMAxLa2tGfAYKj8SaSys8UYJ1+QBhxkboMK
sOEChJSMl+G+0/4USobXBlq98kgY5tJ8k8PgWvcVp8yZaJak/dQk76LRjI8GdM2skcLuoYqP862N
kGctastD1mEcE1530E6VET0lIu92QZFYTKxu9SSOzh2dEhNReDHPdGQKGqQFhPvIftVD+gKBP15N
if/c6r2CDyVbo2rO2D8a/kr5iygFThlivlPpMA4Af6IsknPBdIiqAq2Q1gXPZ8aompx3syHRKnEI
IoVYpfT4RFGOKEaJbabDvzaKAIAYZRA4R+YAOdx6qeZoOFZNRpUOdObaiV4qAYOMQeQelSyoF5Hc
MQRCozA5rwhvDvVM8hHDLdx6OriowqTH3U1bQ88rONLXgAu3fYfjcNTtHyPliu1MPvmGLxf4tRbe
V1VQAQWHlDPEO7sIboqweRVzbGzxSABORJjUeCaVUAdGuplju+i7kxe07Ynuzdqh40oz6Fw2zCqK
xrpWGPU9gNYnDoWai8mtsIbhiOznTnPip0FPc+rWXGoRXVYEbrbbeITHiTys2jBYI7AgZ885RR1z
tEP+RN2naaBclfxWSA4AbtHjm0GJ4IGHivPqUAZgUMHhBEwIYXnSnh9olxqtHKgT2LfehDCksKKr
lLrVnp6zvu+N5N4qzY8ySOKLbh295Lpmkn3XGfMZna55pGXW6jNfSZsxsuGClcU9ZkWyk4+yhOlX
6tYKQhdaKap5ZZcxjgz1Ve2NTy1loUHk920xYG0Gd04P/7klcmJDKJxXfsIMbTZaE/kwFaL7LJrv
iRBGA07PcmqC4d5PlIb/PFMTcTTKYgXVe7L3BjAt2u8afe9xigZc5/PorQvRHy2r+y28zN6k/rSX
sf4ktR+Ed/3S5bweckEaVY5yxuyjy2wE89YLBBx13dxGRGQJiHySXA4/90o6GOgJyOyGMQau0Q7t
HRzTw9C01z30uI2cBMXBtt35oRFtqUe7ZFWAh5hNkHjdhPbe5BrCt8bYhozRDuMsDsz1lCI5Lrw9
WF73UOTO3h2fKc9QIyRHe+e2/UcuaMtkpf8wjM6rIUas+dVThzNjhRZGhYPb12PeUYuefho1FVn8
RRu/pmsTpHiZySGuOE0c5xLRcOJ2w8oYAgsdOBcSLW1uYxvzZ0j+8MYhG6PNrWPlUasP3Ph9Tpm1
ddkrdGUO/u5HE3q7vK3py5d+xYBquKIhfjWNdA70KrDv6M06Zv7LzsF0Jbhi1103xhtkviqyBqyu
c+NGBNZkc09kB5dssCTiBpoFAy1KnaQyh9Bv+gGyczkaH4Cs23VCpmIWxAeufcGedLnOk0AUBIO9
JM0QlGshKdD4ugkAZnTW3+Gtxezys4mzDQlDwE19Stht92rDiivr7Cq1iJpq+Q/KDqmDk2KW8OcL
zEimuQJOUS4kgGGsv5G9bb2ZWjpBm8z6NOp+24GJWD1CH8meoqgjUQagVylrcHW4nzZ4boEl/CZQ
Be5fFxAiHdkfchpJ/Mxie9tHxj2q9ZbU9pxT82S/dh9uAZA2qegmUWLsQPqChkNEHrdMufJyF/pM
aZPhybWqq1DY0R5b3Kqd82ljVU+R31R7L5sfbKElp4jfLwO+NN62opQb/G3Nrk47sUUlsxdtS2ct
PxhmSxAqDZw5gC9jBTcW2IeN4UfvtiuiYy/6mwZGK5SKrkdCnsXAuUcwaNLae3nv3GtYcWxbv8Sa
OWxDyivIKfN1V9TdOgK1FxnpgWaOvy2moT9Y2kGUfXeXBIowFPco9Hp6uEG5NfXx56I+/h8j6n8j
1KYjYeLb/D8Lta9/9e8//zeF9l8v+UuhzRztHzopIg4eH0faDGn/ld9lCByfeYHO7z//QxIroqOV
9iSnLdTXrvEtybZ4yrJ5FBg/kVZIqP8pTP8r8+r/FthlUARBcv0VjnX8+Z//YTGYcUDuC1ynlJqE
Y/1Nkg1nGL1EXZpXIa3fuK+trVPjCwo8NSMOO/jqGpWEGEVZGb53SnXdJqRC1BV2u1nUT34BSakn
vHdna/4+b6ldqDB5rS52rW3M8A5hOkJgwttnjO8Qu/iZDaTkdI2xHvAwzXpTHCkYHlLl4MeC+lRn
/rT1UCCsPSO/9ZvC2hvuqU6C5qrHdiKWvmVdThQmoliu9PnUmKF7qOP2wexGcrgt+eiagUFR1W93
BlKhtT70quHUH/VWI+qrtAooWWPz3Ab1o6VUE6levOCX3IEEvvZcvzl63VBvzB5UqK7FxcmV1U3o
IIObrDrdWgG9Dc2DxutDzYwGxzj7nMhSvctuNRcVkBHSQhGdy5iOugsUwztNkigPxHqTCx27vrOL
ubR7VgrNOCjfiqK5jfTpCs8F3OO+MpSY/OSGtKJwBTTbUZ/vkuHN8jkNckjAPibqAlGHce8FtCSX
V9hg/+g9e/NauHm0cZCGbkDMZDTDoRy1o50i++x7ZHm31hyV+7ZAMGnujAHKb5YKavaSD7v83XW4
Ogsyk8OWygOWhN1s5v7Okz9tjazDhgtNiu75PBARdR0Va9s4z1Nj3VDvzQDW38iqRYxEWW8jveG3
0wxvo5VVdGqDLb1jhzyAYRN1I5YUIlI2dQyyLsrT5jj7koKIDgQFBczaoTazsop+HQ40k1LZMbrQ
Wwp07Q4A1Va0bn/quyzeR05AXa2l1RDP2IJ6zbhFYJdcmVMdb93auyKmQ2eyCDYmDZh99syUbpkW
MfwCG41EM2HAHWuPSLxKIp1Wc4GyGvkrvwN36vbkTCO8c5A135aVDvyvaC/OgysSMOgMokB//LZq
7F2VUXzk0GD3jU6stIg9m9ZcOMC50V8C2VB9dQfJx+MzkvKKYwm+hmKOXPV9b16biIyGLKjPJkCb
Yh7Ml6SE3hY4hwj+0nlEeJKioj3HZgxgzJfzxsCxhGg/ePLsoV97lclh2wI/wtl2TdRNsw8bYht8
Y+yvar5FWireHoke+notGRENmelBN7EvDpiNUWAzAyHYzLUFv/khBfzfBwmKrvyF3kRzcQsuO435
aKZh91Z1+QPS+iddR4Na9Kl1AEFN7Xs8j/0A9tbQSmBstYMrAEb5ZAwzxa8I9khQa+8aBHJjaEBS
6F6zLQ3OIa7fHwxNOybS1K/riKhVf1YjsSh7EU5WXGXCLTZlgXLKcWJrn/qhSSaRewmlyA7qdJWD
JaWEjchZe9NT46rV3Q5NZFlcwHldZpesbgIvgcsZfnhudD6DSYTFRtfa4ipCT7IP/eJNWKV/Dphf
M8NoYHphrGZC3ZorG6PFZtYIL/G9pKGMGPnHqJTplZkm2IDV2Iv+Sb+xWmQ0uOXFBqAbUXB2KBgV
5qBYe3KIdMMy9ggIiFrLBqZjPvO4VsaPHWydonJxrAtCw5PMppysa3tGQTMG0OsWv+DOFQhXI+rI
MKSyC/5C+2uRxvFVbvnHxlGmeL5yja4fo822vfHM8RdlVOshCSIEd3G7DcqpP3f5CAADBXLFtAtU
ity7QXbm3E9zh0IqU3tPI3D6n10nU91igklHbXlwub/cQpLbA6oh8uWv5yeg/Hxe3F+e/777teby
oFOr3tzy1B83l6cob027ZjRul00sqyyP/22LmMzpICbiyX0XblSeOuKXTt48w6sNVcjp101NtUmW
+8utZaVl8f2ahLzdlKIzK7oNPkJmkv/c3Pdrvh9bXr08wQCWmLvO8kmJT7t5vTz479+BtryvZYWv
P7ds5Y+bXy9b/srXTdOLz/zcU3QTvLG/b3q5v2zj3+7r1yb+tp/La8aaFNvRqekZ/Gu73+s1df8w
WeAj/9iL5WVfO7is+P2nvz+Tv6++rPjH3i2v+eOdfv/Fr1f+sfllo07QUNT5fof48ynXNiDia6Hx
SS+vXxbSrhodBNi/vvDlRctT32+09EifTi24Dcb4Fli9+HrB11qUjgC4425pzWRjg2+c+SO+dRUX
ubEuAjiLQCaVtrq8A8tdnJzJL05xmTZUnXKXw2V59PupthYpJg7t9LfHl7uWevGyhe9nv7bSBDXb
+mOLPpqvGBrRaayS6oyShtSEGk60iz5mualV1HK/7k8RmY4hlvbNHw/mftIfk+Lla5XlieV1fjgZ
u1GnDZdEHucBzaZXT1Ccsc2nmVN/mGxS1ztXCTHCU5OS+qxu1dKl6Y5+k8wK7LIiA3MzX5MzOe6/
f6LlciooxTXwOJXiRH69B8gsRWWJ5cbJj3SMKZf0v5zmF2dyyaRp+pFqpcp2ZvZ6gkuSnyYV3bws
7E4pA/7N3e/1lpfxbTDP66HxOQ5UkrE8j03jUAtBO6uPH3no1bu6bjIY3XOIBtYc3vzMfqBY62/o
/NSrUvX+/yYFgB2ylnabH6ZhD8HWPrkEnFOX1mDWO+j2/LEDdP+v2AZ0X4zRCpBI9GdoPMgi4IPp
elZO+xMNXCIJ1AJekrHv3eKojXZ4XhYDiRFrmik4u3oDejZX4PzcpCCRGbq5GwziOcx+Fs5MmWvA
j0RKPOqCfy26SPtdGtawLZG8AE72zYiShn1bD010nkxgDIBVwRSW7sZGe3NIR1BjuPyxK5KAs841
+pidXYAGnxlsQlKsN5UwzBMCfvOkqVJnNsR0XJWqI65xoOkgAld2X70Zpc2k3Ki4nPFVxeN9ZlBA
D6FfYW9JSGW1K8XmD23/SFXHmmbj5OGpI8bujOgVB5PhMvSzOJPHiNmp3HNrsC04fmZxCNW9UfTh
KjX0YrsILLKgE1yxEF0stzzgJnvmBFe9CtFYvgOO7KqFV1HBxk+h5i6fv6O+hKF1jWOV3rszP0Kd
tjGx5X3CpSs1D3pFk395D3RJyb12LOQolJc4/tQiJdNhT/LFoVPx20J9GVblw3JGVzKvo8jES6hk
HSBKsj8WwRS609rM5PWg5cbOwXrCJ68OaGtyydjWxdQf4hB9uJLDfB+Ay62/PTbRcMU8hrjBVWdD
z6HbpQW7hlEgPWwliRFql/64bwM/Ro9AMSqP1MnFVvv9tTvqwyaC7K+PnRyAmMrQQISjOqaW3VsO
uGye+Gl+fQ/qGdc/yhCCgK6ELcsOL7e+F8tjbaKJ7eCar74SwYQqWZ35Iwk+cPnpHf3rwbEue/gC
DTRHdfQsh9By63uxfAbLXa4mDFdjebA8rs6wQLBOVZz1l8X33SnV34YAcUM+6bckg1gzcljOXF83
TUlDrXctCWQHWZGoNQ7o5ahWi7/dxVCwI3rL37eVVXMyG/5cTFrIcEc9BkyjAidandzBRHuTDOJX
qxO2QjQVKme1CMOm3I64IFdkdfoHKUm+a7rfZZTIbaOOp+XzW4JmllvLY993CZA8NaJGpWxJe0+w
565Pcg6j2RSbaXBqCrA2wOkyLhHACHJcAvSW+4lr3rJDkp+0VRjNBtsyJbaGSeDKCAQAVo02SWrU
40loEud+venBfbqke21E79gnIovECncrRMlQT0noiy9BFD8OQxttEZehBK4lLW+1A13iBvPaVyd0
V9iHZS++fgqavumhBa3SuWk3g4rC6FQ4XDBph+XoaE2SopE3PCYup/6vb1rd+j4YHKwsJ/mQjzm0
ez/QlVFA8UzfsdyaJ6/OrbOjFhqTQa1qCQEpAFq1y1XNG6JTCgQw8IjtZGh9iPRw14fdc1d65JfU
KT6EFHpg1Yc4SQT5qVGXjnuYPvEZ/Bb+yKa8qxKtXsvZIZ8wSvHuWJK8OhzpkFEUY9vlDNI7Rb5t
ZgEMS48ORtnASRcdE4IBx7k6WdBRLU4o8REhLPdpZ1iYg7nUenbnn/JcRzFouNXacxk262qsPapR
NDgUZqqd9mwq4Ijor9NM9lunoVGrbAxuXT8O9t5k2ku1VW1dFjycUgDeLH8Hp4e5xpqY5fBiHNXC
GzF/ti0jHeLGsgYAaa2u7s1Ql6fQKDT6/8alNHR9xsfEY8uzZLGN6xp1Sthxrpnn4Mn3U38Xt0Fx
buTHjC72JBqEwAQUOECRTmOeDKeo6p8sraFNkeHLhqmgWuBzs13eWO7Gzb5LxKXwihsUBcMWTiaj
cPIZ2WiIcMBogmnrDu3WD2BV9K7qeXvEbagz5bLINQIUUWL+kg2/RbfGddHoD65fRYf6FBf0f1K1
WG51U9KefM8AHyrprIEmdNwRMkcYomjhXLLN65RMlGUFfr3HxEblU3dwPwDtQ4jf9C00dihdw9e+
octz1vo4AByy1UlXLXra1Ce0Eukm7TjNTPMLUq9nMqlnJtuzgrPTgXLs5LkN7XRL9y5fm040XcVt
7qL+R7bVcnVYPp1sUuddic4M9XnhrbPByAjz5ES63HIXHeH3g556BsLsOaOPul8eF+osu9z6Xiyr
2d+vXe4vW02iPNyXBl+g+kN/rLfc1IUN89S2f3+9dnksgzEa5ZgBc+sz0QnRII8RR2fRBvRipAbV
OX7Is2S+8ma6WVNNpzMe7uPa07amgMGJQJcSGvQk0wf0Fagsj8n7CIbseS4nQYjh4FJH71UrqVeq
HLKYRrt8Iap0TxbglpKF3ILjT1Y18lrcbuSWE11wHrK0/vRHWHawAX4UGa72YqKm5PcVIVwNDRgK
qfVW05PxBKUKXr0IPw3FBTLlj8ZEGN4Gg3/joC+5QqGEjSuJpnenpj81FvaToPZ1oMTU7Yze6n8k
2nl5fjBTmpDGkJ56/LkPldE92eM8vksoDusIFjvAWwTTedNh+Kbk8h6K4j5HuX0JFBK/bCILMxdd
8uVJRELGCKS38RDSd4S6HOPAyZ+Qu1wvW+VT41CPLHkFEGu4sagLY6Tmz7Wu9hbGMnsA9SdOlvQT
yBC42/WOcX0Buz4avfmtMkZnl+cWiv7Gm59xwx2XnZhasMdFE5mXsqmMW2Y//CAYr9+6ds1pfsK1
TP6SfwcszjjT4sALqnYFYibtbTt5zbSaZjMy470BruvV8ik4qnfVTeEI+soW5wFK4Z2VuBCYl08H
QssqaiPztg8m45KbCtOqNjk58tCPlnie0GcfSDnF+NW0w1sWomNRrwwLYvLaBtQU8PDkoevHH8vj
uoq1yuiN34gpM68g1wxrqV5ghMW1m+rVE5XB4tiMdbYzYIa9W8PXFywrDqeobuxjP+jdY5Tg31Kv
G0qLlBO0ztcQCglfK+hqLW/RcvMnodPmqcYEv1HXJSfDisevL1Bvzl4ohh8zSFA06SaadN2xnujG
XpatAvIDMqoOsY4w45vlsFu2ion8k2q0uJf6FJ1DF0TI8vZzxTcXTvEcYUg1Mn3cocGWR0JPvLs4
oMBK0H3+mROVJ7GavIwucH0mysEpiOvxLoAO/rVGF+RHy9biVy2S8U7CszqVnJDu6DsZ/Aaz4pNO
Esb2aHrtotwjTbaaGb9RHQVUdPBAWHxtJ5u6nUoXeWO0hRY1MN2T4fnN7dS6lDbVdqyoAAal9W8p
5vQtwsKM8UMe3taIYlHUs0aQkSeu9/5b4znlNsHIDsTWMG4oE0MyUPtTk9naFFP7I1DN3dYHf+eg
LL7RfZQEyzZsBR9vLRdYNkosAEzxBXm3f41Xrf9ao8Pm2c9z8w7kzNzEqYQiMEX6tYVj5uuvjJwD
vNh9TwsVHjxq5qWxw/LaaWrraxMeckGsJZdlBb2EZY9uILpqW8e74hIBsUntDirTMp6cj76z6X7a
TnOVuMQPwWmkCds36SdyILUekbbhZpSDeWXKobhCs15uknow6EaibGKvx0p31x3c4Gtfg5CB4Lrb
VKZMPzLtvGzBIGJjnXNpuy4RSF46P9Q3/pyK916+LCs00zitMepANTGm8gLpwkaW3erXRcfX0wNY
oHRf/2RITilyaHVScMKSa9vcHIBS9fezi/+vJ/b4Z4NOOLU7+U4EqQYBg21UHJ9nICfQp2PiGbU2
uP/amhc+lG5hPRO1om3pZiVnx9CITbcij2Pd9d9dvqxl1cQEk551UXVvwTM9FKS8HDAGWfcFjM6v
VcBarXOKs+/SGcCbJlV9DeB1OCcWjhXRl9WLnla3y9b49Tx2et0+U1pJdi0/iVM1u+HNUHiSkU/e
fJhIh6TaY5NJ7cpube3OmABAMnjS9gDS4wcnoCRN1E79M+OoJMlI+xFrANzxEmlNADh8lOc2cAFx
Zfy85CwRHfDxIM987vUaan5DEjWsSOMkory+GRsNnZcs1cjoZVlz7ny56nrDuBv93gMp1ybbtq/P
Y1d1D4ODrWBZbQrSbSG96YcWl82m71rratCD8DJ2Oj0y3wlf5y7B0qq+vdJ71fvORCOo9buZOMtT
ous6tmklW6Vs82n0V8sHVDGTWwVIM+76ZkiOUdhP+5a+8ENE5OHXx+3bwc6lXfXD1zlXu8Ibrhyh
FRdfklxiRU37amTGedkalbr3COckOmzoZ+irsj0MoAJKs+feIZ0AgA8x+xNh8FZ4tfZGfht2ibZo
LjkcIlB2SbRhENl+ZO7d1GXW56jyRXvP0W7MTBensgKq5xP3+FIPoP7UtsJW/63FQfxIf8EBD9mN
B0hyGoctaTy8a+uzj7zDOPnGK97sfouDbjzHcx7cZE2hU0VU21CL5W4H4una1TmYyEHut8vL1OuX
Nczg9D+98f8XiBlTJf2/gTSDteUfltv/+IuLpjrQf73un5hm9x+GLg2DwZdjQGOAOPa//kKYecY/
bPrhpiFowf/VKDdVN1w3aWBb/HVPeHS3G7AY9NBN/R+GQ5ALYY/kYNiO5f7/NMqFMCCy/dkol55l
eZ56Zzadcqlb7OyfgObIiSorKZvkmOLYOXhD+6OT9jXQZmo5KhjaBQboadi7sjFxQQXmx2CcmJu2
oX6oBflZskS/60y3eCvas+fNsNJbfkZa+Z6OsBACo/s1Zj68yWCmHJWh4RuC4XdfiPwCouUG6Gix
Boc875o81lcmHPSAeEunhuCh9ddm/KpPBYMPUdCMa0hjqp10P4QSAY75mwr1vCOs7CwZL5+t206F
G+glrP8qwEoDe2Q3xR1YM7yw3WcQmthNXflg5wAdatqaGzNg5spFZweeYz7ASt6PXQlHVq+R97kR
SV9G4d3EST8if8TrEpO+4ml+ep1oVnI7Wqio5dw3+2iMgNam+nQysuBTqw3vJKnDP7atGR1Qib6F
zHuvuVKF144PC7o1YJI5oz9dYBYjlu97HVFqRlabKaNtjuNtW8eatm088ms9JyBWe2yYqGO72nsV
xAvLDA+uz7QhmtIWz312BUOIANukv+KcWXMxKveo5YdbhhAPrk1aniCJ78HVP8YeYUKY979qwsPn
xn8bSJVcZx5+Lw191n6KK2NTDZsqiubdUDSk4Yxutkls8Zz7LiUVTBlGmU97r6nZEPrlClU1jANm
LrHVn91hGG+hws27kvDmfUHKwXFWuYizll6AKq6Kmg2bLvF2OD7eTRUErdaeWs6qOE3OI3o9HzaZ
L6uTVsI30NlgnFXW2tXR2Q9+RLqdh6HQLDWPuNmE+bCo967JTuqmcZoYizDACoIdBZ7PPrQogaiF
roohy6IJo+SPu8uzy3rLs//u7vKEj+5vP5LKu9zTbNtaZz24yzruOIH/7W8s2yM6nWeWm3MmvR36
tvvlxctieRsyVviBmcwds8lO3+9iWWPZJip9rO1tBXZ1Keeoffle7/vPLo8td2VCxqyrRyjJ1Su+
n1juBnEAYG+5+cf7+1pTm58tG+FoEOBP+GPFP24uKy5/ZqYaqPlWiRiMhm/oosdeFg1qWmzPxFTb
A9BMUG491vrMgydI8QL0AAjkYHzMs8sSg/y90CaZXBAlJBdbqzAnp5TyPPXYOACYMP29Uw1vy+rL
o507TyvTFURSBfJkDc0LaNJiWwkRIHKJK3Ay/SXUwEePVLUwOQI40DPt4jNBvCy3zDADnsxscNWK
ET+2w2TaG+ZjHYth21Y6FKwCoQsaQyiwF7jZ5kVTC8+KxEVSjgPyu4Gy+WI5urlfnqdhZB8cBPk+
01swAhYfNRT5XV8O8hIEtrwst6iFAnKcpnu0t14DoHyJe54Fxp4g15Cz6HyG3485Ybc1GR3SRWAN
qhCfkNTcTZqYh2gY7HOZ5fY5HOioGWFS7KT63OcxNAkLKt36EpogA2BuxbBRyua/2DuTJcW5dMu+
SlmNS9ckHekcaVATOgEO3nfhE1l4NOr7Xk9fS4o/84+MSrtpNa8JBjjgIMRpvm/vtSklzylR9euj
1gtdpsavm8IJY68ckndTkvM0xelXgDGZJzIqOqSlLJ2t7giJ075p2MY0k14dUVeTFRmIg2/l3xKf
eg+86+yQ60Z5zVTympet9BBWkdpZgT+fQCTs9Q48Ab648aKkGi9THDqoEIvnDIHNpVguxtjEpm3U
LgUbHmHW95Q5BOEiQ3Ye7PA2vI8GS+40vzUwdhX2aYyKUzjl4SVeLvoxZlONT0UfbWOfCtAXjag2
OT16NJSUFmVE+orIP9Appxd4xfoA+qSGHnMYcm2+aJMxX3RMaJeGNFl0r/45nLlrvX8eEOfoFmaQ
9Wa8nPnrtc+K7GjXKcDzwwJ1QsQuLIlFxVeQuwPxVElp3uUWEdZlm8mtTsyWEfVsxfs6vfgu7wS5
R3zsAc/a7RPIK/I3M+syjbNBgPhAL66VRIG5qH5ytDYLtsb2SmG/ridWLTTkaktZvHb89FpZRXad
G2rlDTtkgMfcXMA/hwlVBLXAKbu2bk3qoSo60kFJFmgALkRx8JAG2X1NnXNfKMffFQn7K2RqBAPQ
nzx12O+2sJpc8AqBAWgh8woh0rdII+ZO+PGdKWFNrq0XrD1Ucv/uuqytmMmPEQbXA4v9Af9v1S6e
3F/9sqVBtV77defatVpvr0+M9YJW1nr7j4evN02+noMrurv1X5P6pTZlRKLJH0/47aV/Xc2z9KVZ
uA/Yh//xTtb/t/77Ocu4sx5wQQaSiPff3sRvj69zZH/YAgP2xgaATbxk5HMuF47Gj/bvm4lJ6/uP
+9a/dsTXepYVpkC0Tc2AZegTU5cH6pYs8r02kWZc+Es4pvwkKuKz9Ymp0rPqU87qwxjr/trFMYHC
fZSSSfNuW/oesFJ6SkfMTTbEqS0LQRNNsOVZptEfax9rWUlcYdLjgdZaK92TAFQeGhyxp6w03sDR
nyTi8KiZd9YMKMEMqd0Qb/nYy/wY5tNjawzjxh96PrMW3mklHujE2iW2iNA1GR2dPCgAgaSeGGTG
Fmwr7khjjk9ZuiRa+e0R11Oj8EEatFJjxFMziRCnVCMow+rljjrZuCkkFUFcR0gTzfchjwn4DGN1
gPuQ1ZnO3q5yt1XbECJFOKf/FvZYF5iX26MsyFMYrApuyuzcxgURP0k4bMNM+8hKImDJdadTTXpV
FSYmNV6SuIqG+B6nj7pLh41bZyDc6Dp8J6Mg3CfWT1rtdACvGvdUcEk3lqwJu/BPSQu4Qx9IhSBs
6hQuHVQzonZuVmDARRDDxXDEKbQXJ5Guj4vBRUObR3vLaUgIqtyR9MNmeEsNVmB+ao/bRKgHje+h
jpoYmgL1yiwJdM78JtkMISIvbUjBqzWnhKz7LsArk+DNtIvwkOlP0kAtH1glRCkcGGbWvBMFBy7A
p90STZTlif4+s9utT2WdpLtIA+pF8xifrSJtZCbqqZ3lB4zr4CbU6+YwcHqyFpP3k91llzypP/JX
1aVyh67fG3C4bjO9e28kYdfuqD4HRUahOVILorbklTCDhEsR2xmQR5qDxqJiDDylA15ymvID9j3U
yqtyhvuSPI49ltv0ZEzmlriMYz/AY0hjepxO+zbP/o+wc4+qoMuqwJLrEe0PdxZHjpi4UjwfN/qN
MfdkU3I6tsTs4Rlw2TSQx8DeoyCNrzxbhV6/UOwMFxtTW/xUpEsQQNXpQFB4eP61yP1oh6PxWNto
NEmjv7ixvFAsC6+5nnpkNDC7yXHb5jLZQA7Y9aJ2b0TUnywTdEtliI9xnqYHSS+gDpP6Gg2cS46k
2O7i+bZJCqfrrd/VWv+UdWeFnH/jMsFhscbMSamZb8paxmT3xQ01BHfWaG9jmD2OL1IPuCEoGx6o
204BvirTYHLA00yCEZo0nI9YoodEAxG7zsEwgxejUq9WXPOT8kmNxfV+7Ig6DDsZnRVIETtX1wBg
Ms6Dc23iVyqM4g67HD2M/tjkhEFDvaZ3HMTdsRPD0Uj2VEFYZacWjR792Mf+9Ora7YsU0ddRIt0Z
U7g1mTSFhx+Kah/+85ZhxY4SViAOzEHghNpummwF0NB9GRvxGlMS3/VlSshpXSUe+heJeNWdc+ys
5uBhrxVbP2MPiCjCuomTOyyhcGrC0MHzk8/bMtdwzeEhrxF1kgn67nepfhpItRoq4uRovN2GkXIu
3Vh+cdr8ztYdfd+mbQh7iphbObra1zGs00Me0SeYSQvLJt43hSuxtauMpEZ3IDok1A92kLza0Hf2
CC1hTJehtjXRuh+6adpPItY8N61JwNGphEZOYO4hg12XJQ7ZB1tpYxLJFb25om1oScNjQZIFll4n
Zawrtets76BkEhJIFYx8cW3XDsGjL13npuggmaWK81GTzrafbH2H+r0AF+7ca6zk8xFFwfjVCXKs
m5rjHm3GELIqIhZSLigyfbEam+W59GuXgLGfpq/8Y6QQbU8BTnYrqfjsXXxn9Fh6cXpXoWl4eZMS
0aFKAh/5NmIbeaeIyu+BfYnbT0cUmMJHmezyaPxgx0qcTU9IeT4vRNiwMJalnQ/5CXQs3hnOYIFg
V8VbM85wZZG/izVLF7j56eC7sicoe9Y3QzI8hrP6kiN/3UaW4wAHYsTD/AzOpIrfDWJD96mfwmkj
oT0ghJrMpBDXNNlmYUbSoEsGCF4U8pk063vQnZHH+E8NB30T3Gcy92/8KXBIOrZ+hpQwNmYbdUcR
d4uq58xIhfnW/SLq+lQD6r0ljObD1Or4PGEg7HRcOWn1pc6ZlKy2RfIQdJiNbGZACw1LuGxH6ZRc
Qw3oEmzc5xpv4p7Fwz1ie9TuevbNN5gBXUFPrM5RkttZfBwgFReOs0cB/EA17yQSgUgKs/PUd7ti
jeGbEI1nDdYDIyfdJ1UX4UAmjZxHIhyugf4YDN0VJcGS+6zh/A2gSuUpw4lufUEa8TrYfA2U7jdg
oOkaBK/UFaWXo672+vyxZOcJ5BZZjV2iRo4aIEMOEn4otoPy4/2Uyw8r61rkXO4xhn21ccNvZlwU
u84aWvTZ0Y2vSI7TGzfaEfhcJWCaOnmPMI7KPwCLOnYW+IRRHu6pqZPQUsmn3NEfkpyfnxZiJ0jy
5nuaY4Ajt9drR/ubnEP90dJ+OFl/BObggmrG+TOzG5Kj7YnKOC68qTpmYeGQymsGrPyz4GvecXpp
CbwmMKEskedt0eI7K60Dhx38pFlnu7mMfgyV9UW21E0YRMZtjGBvT+6YzZlykxbUtdAS8SVq6ug6
mr9hYsx3iIJxftjF1zZzYDlKwsWLOPyiIvuryDEYipHCFg1VOHwUbYKXMpu/h3OZ7BOL9lInnXda
n8axCFGK4C8tClBaYWBgjqOoG9njR0t/eZM5U3yE1NaG42MEx8UI8m8SVmMde05V8qracdLzj7bS
kkWVzZjYF+corm/BUgJrC4G6ZolFuhdk3lu6txEaheIjp0ZDc/txGvIPzS7jY9SWu4moSI9UFptK
XPBCDtG0XZdcZoLJw6qZoI2Y3Wm67H1n2wUK7jpnQLIewo4DEdhXfPZElVUaYWl2f6gkeEM3iA5u
4jN+6PXWLZJoXzfoBvKZvGf0f2LUm20Kyf8Ol+imSW1x0yuCK0WyMCFchCvoK72xp9fa1D7ZWePd
NPy0RYstFKDydmgT60A3MN6DgX3rOnA8Vo2WptNfUeULzwnZwscLi7QQN4E420IfTh/JElntyprD
XFs2a9AbE9vcDewcPN5W9e4qJlUIZD8Qzf/Ascn6S5rupgwj0sAaYO9hZhaH1L+lBTPcTRmlDs31
tzBA2H2GTnSCK2aVjnN0goRlhBNjTJNDe6kf4mbWdxGYql3qFDORZ/SwKrwtqsIqV5SzvAFb/3IU
evFRSoyNqYBQEd9HVmDsdbCRW3gkbNmV7cFcAsSC+X/LPOmzvqYJq6zgbhDE0gDUa7JaPsFV+mlm
APvHKLAZ2KZxw1CMgyLWmwvruiIxPkMWTZ0/JvtS1fYhrhTwMzalh01Ea/bawYao+PWfI6uh7sBH
n+LRGzr1lvjE0yVm1hMd0bCeFhcjTbCv2vYZCg2u+gxYoGOIq64FL3lRiY09O0AtiIzbKZl9we73
1CICY6aFa2O79ReK4fIkG0IpyVoyv3VUZna2OUenVpivcB1uaviNO6MWztbW71LDIiyd/o0Zdjcu
kAhfagFhdOVt3/TYXzUiFSwacHtRVhckBKAw/YI+kbsDFAeyYQE62EnMeQg80Awfca9lwNZMpqux
fdaDizTy/kxkVbdtxnmfmQBbM1ODdgC2iPgfl80LaGhfA+ZJqfStIabcaJEYJjY7HN+WtFipBA5l
fCcz4vVmoCB0pe6RSN7Y8HcNjBjUx7srx8naKP/OxONxkK3zNo2NvRsJLS/d4TEprddKdKx4W+Jh
cy15TI0Op285kR5ObgAJvuFHCqd7GyEB3SVx5RXE7lHa8KZxeCQhxDmWGmhGp1I3cxfLHabSLD43
jjcl5kEXTX7qlIkXzGAfI2scukYf33Zdfps2wBGW0aIsJ3ZzCFmODVV+IhJ6890NANARqxbuS0FS
dI7AhcgHwVI6cPauZn4vcRjfsAkCWkPxv6xZJc+glbPyVI+8nArLGzKYnGPmwzYLbPe1p3b9JsMW
dZVwkMAz/VBa/y7Spw4CDyX5wPFaJ3mMzBIoRU1qQsbksCuDH1nZ4fYOEL/kKJZj4A+6yuy9Uzps
vuo02g8G2rpmzLNDkUfHETwdEfCoNLSlhNUe8TfBzUxSCQoH/HCGrLeCxL3vxuLooyckmlWQHEdW
M2kC6Nj8u0BZVzhz/YEzmYywcYBr1N/XTuNscczHEOi1Z+UGzU7qJH0lzalANu3OHauj9jTE5FSH
041ToA8hei1jajUvc0q2r9ZY3XZqakAFg2mzzKdEiutdeWwrT1Dhf/p6nx4jxG6M5BFxXh3BVIrl
hjXTFu5mSCuSMbhnLsQlnMB4d9uZgkz7HGPWOTfIa/HSm+ig+vpEr4E2BYY/lHMaJGQ8ABO0Lyly
pvD2cVQRHrZ+GDZNJ6nFGVlJWvOhV06+I1IXa67Ck9bkBzReLIJzhyAETihDlEdlYkLGfjbtVWRl
+2komQIXSD6hSfRC0Wt3zJZVCvTJMewfCi8+jPngSxQfHbIQmeyQb4Sd/dGmBeMHEe8GAI5NpNTX
KSjTLUp11sFQfrt6unWpN2+DBpLNRNygDoiMoGbF1kaQvkz0Rz/KZxLK8fp0KiU2RjcPNkN/qWdf
gmBkqZI7r0BxOo4xhgiTqOitWEATem6ek66s0LKGD8DFT6zfaB7pEELn6kNQsjYarJSw5qyuAdYb
Ac+02vdkInsH99dnTZHC0Ef0FkYF4HDeKqBS6DtwOqc2sJPQPrc5/m1RTZAdE+uHOwevqJezXRaO
Ce0kMLCmGL4WZZMdIC+/ztVtgCTxWod5cR+lxPPMrM1R9r3mkEGZTyjkKC09tFZ1sAHNQvTNIddk
sbOD3+J7/ZA9I/dd+LUsS009f2sENeB5RI6WzN/ZCs62qePay67llD7AcEHQaCzhH/diYAndQmtL
RrJ0Olc+WFX8kyD2uz7rnyGzqr2StDyMtpzJSLCA3gf9HraOP2aeVknQrKSaQXGSKE2n6DllZ3Yy
LPexmwELqtGLHPNa637s0f8rWcmzV41eKRplODH1V6qixcay2sd2+ZFSj9xN7BcRiVjnoQ0ihFeb
5HPu6+VUA71nDCuFwyffJU23cQfCgggPb8R26whkq62miElpOTNdWqqergZIFtbrAE+MM7RhVxbO
P/ElNvtWIyqOcJpt9c0PemwSw5ODA7ULxu/23I1eOGnn2qne/ZHgv7wo3W0oXOpXvvszQwd8KCv7
YxapcWTazFnfNNOWLssdp0WLdI2scKTAUPAzGBHNMjs6k3av05iFzPmZNsGldspnjO3RAT/+uOlK
g1J08qDr1vOQjpxeTZNRs1cAShKakItLEq6JWpKdo/nTsLC8jFV9E9auwYqNrWJQI3n2CYwCuhVf
ppCoI6R422Eo7kpOEX7XroK5EyCWFOl7LUS5D0vwe0y2mO1AATBRCW1b5a57zLpS3+iZfw7UdBI1
PotCJ3jN+k7S4HOddncpgZ6bAr0bpLWc0CanIsl8q+K2uVKe3GlBkx617KlvPuMqHG4qIT6yNt+X
I71XkJDhBraFfpLjd9aYaFgk3Ua762/wOJ66vqYKWLpsyod9H8Z7ALBs2iJSAQOqYJs27ZulK/pj
BhukpGXfmrCnRNU0VF7ye9Ol8Ryi6t2F9cBbY8QuAbLeuqIwjjaJXR7ZU98TxJgYqtPvbUILPMRf
vcNQTpOxw01lsbyEsA4JZdQ6eG0MaDut1ahLBvmunovsQEDqFWxffSpq1ofG4HilE3j8gDZGPABw
SaPopIU53k8rIk0S0mhcTS9T2/gk2BrpYaqdUxtVaMP7eOdmFj2oAiV+COoOLMmMbDc3ooulXZu4
p6tSZ3dW3FzgWiA/V0nhKUrHZ9FTfWnEW+Gjvhxzm/6DBCvJ8hUQ8o3VaRag5eFeiwx1LAQrkrxN
yL2NmTOHut53A+qsJtMOVWyAnxMLoctw71tMCNJG0o3u8ND3hXsR8iUltWqTgjzfaLEzbnK92zE+
eZmef2VndZ31kwnQ/G6o3NtxKn3KgtpHW1IL66kUeJNDMrBImyvsk2A7unG1n2wA3EWoI+/Pb/v8
ezSVACeHE2mrLZ8J2RUQSaYTQLmSEKCweBLp/dBNOkVyjfWsH7T7UlOYUnMojpUN6FujyqBpj46A
rAKZpDaalEVghhKX/Bpdv3eolnq55uacUCDF3VRcI0s+K1V7iCQ7j/Swelf2s9pWUQpdHTCIO16k
T7mz7+wClbPxkDvTDSAQuF2j6k9ROl4xUOS70qL0iGwQunZJNRprejMCBo/yhzkxv9KbMjfqRM7m
CA/dKtiHoseuBpskFdDXoRs8Mjb/VKFPEcWl0R/HZn9I2SgRdnWKHJXeR1lxKQxzk7RBfsk70op8
LTsZc1IfTdHf0/lfQHYkQMcxoVe6LynkpBSq+yrht5i7V33s38KKgza3CQc46dDAYaSnkh6+shIR
eOIQXOgojqo0Os0NJVWIwj4hKH5j9e9qkp6m98N91Fjp4izT4MUXkGF7JJF+rTrgbuF8HvCBb2kP
dB6zOOXPZvyqOBNoSBwRr/acHw16BwuMkzQvthgQbk4FdHbcObD4sGIsNiQ7A623sPn+ur1ew+zy
+2PWpzgB/oXN+pz19nrt7+et90V0sYHegfxa/4ALAedSNhMVqjlk0q2+oPVlfv3Xf/uSTgqYSZ8w
RP960Pp/mA1pQv/9z389U8UknxVDzCoNTSU5J8d+dZf88f5+vU6OW0F3dffw28vWdXfDniny/nzl
9favB66fpHHsr+Hg9/v1pUNKTxyK5eP8euJyIP8+cOt9YZaHW5X703a9+fcR1W3SZyJhLCE5L35v
U2zAmraN4vIjxYWzC3XsFohraop3+Nn6VGPn0jNjjqbJTpJEvtY0oO30bIpZMz/cSiH1HQw3F5Zy
7EndMiDyUQmb5u4lZYSLicS1jOAbW36iJwqytJhih31MhIWA7AhakfY90WKa3xGtMRGzLPP8xe2q
4yTQs9iEJPckMec6AhNScwnhuNX1pWUyASKeNEX4U3AxciJHqvjb0sKoJ21ZK5TXUsxfkwa8ZVfZ
F3AMnouWZMMSQ9kHbaEJZljc09lgfiJmdNf0bQzS1d0MmX+vCwbUWKEQEHbEWU9sizPjfOAHm8/u
nQwYInOY+HNh31Sxe66rMNtHwmq3Ec4nevGbnER1Eusg4ktAsGWGqrzNPueaw1vQ4sJGscdMkFMx
bF7a3KzJi6BdozhpNyIdYWi6R610IJOExiaU01dBLW8atHd0OrDCzfGCNGcrqNliE8PdY0e1V5Lu
DXheHOxm+oIsh50DnCmnCRB4oaIeGx9cVU3L3CpJEpLfC3xgu76avg8qI4AIlAEvCD8lDpgDjQ4u
Rj8DsDSfi5TlbclItut78MHFW6dTBR1nsoiMvWnqsIC0yD4OS3x7bsQudh8a6HE0A71zHa/SS14v
ufH9yNjVE5UBS4DL61pG0z5luwHTyDi1g+ViIuneK5DRG2UlzwN6W02WMOld/QvC4Q2FNEU7qv6c
dkGXfk5MansNicehBftlRHK4KGJ1IkIeKkqc1VgHB1PRlUctfMswRuQI4gW71bRtnNm8+co967P/
UDaEPSGBK/ZjI18HuAIj3Ejcpml1aHH4Q8/AOQCvlripu3Z2X5u5PNtJ+zUbo/t5omtpQZjQx07u
bWNx2pOHeFg1T7JUzeY3Ms9fLJz/kUNcgSLbNggNF8Heb+Qb+rjStIWwHEuwVELX96+CvtAnxTbq
KE5NE02XjFC3syLXYOEq3ac66o7I8p/tshJ7LcO/orWhf3ACqsIZku6tJkh0MD16KADigqAj3Ehz
H6xx2oyhyu4SToRCNU8MBcF/eOMGYKD/641LndMB+b2Q1P3/9Y3PKI7lRI32RCM4OWnSRq5BOW8D
F7og4qilNBg79PTT8A4GX3SehFv8p/fwbw4e9Q8pSJSlh8Yq71/fQwRxXY6Ek54Qa0x3ZWqeEiMO
T6z8jK2Lc+5Y4Oc5+OwOtIolQ6ef5d0c5uWX//5LXPBLfx4LpKKk2sJPcgwpF9Xmt6+P7J34yo3/
BYV0supEBaeuJOkxdGrr1LW053UGwaGJ3/s5KDzYr8+GE1RXJyGnPKLY0mOmKP1Gu/ZuW+F+E7iK
AKwFCGaYr1JmdBA+eytgmEYRalx9Fdz4ln122qG5lljcMJ7TD68xWe/y1C/25D5A9SJOZCwqL3GL
JcqCi2i5aNP5/b//2P/m3FUQmyxDKcPRSYpavp7fPnant07Y9mFwkgbm7KEh+yZ2oTIbgTqUtrkN
rbm+9BVmmKmfj7ZZnjJAA7dxOrNsHy95FhADqA/W0SDS4ORbOIb7IHQ3den3XjqH5rEzh6fOL8Rh
fef/Hx32n9BhDDbity95SZH+SwW9xFT/7/95/yPPmyntv/4R8Wz+euI/Ip6t/5KomS3XsQgscuzf
AGKO/l+2gUCZP5vSXXTS/5RJwxPjrgUaZvKDpfGNqvofMmn3v5Rho482qDy7ksHw/0UmzY/uD56Y
5SiLODLYeSYKbkPyev9yZqaZaGYSMMnVSsunIR5mkiriJ2uaSKchJ6mR7iHQjLs81eeDqUvseSbp
uBkVBVYYwIQqlT6WABgbygMzU5kHf73eSwr++0wS0adGnZVN2qN+U83D4JrNPiNVkzj7kSjP0NqG
l6yXzqb2M7gM9E0xdFO1E+PjOIz0YYy33A/inR/NiEuovPBaCVE2Qrs107A9W7dVavv3xWdc99Gp
TpjF7QZP5uCGxygk7oNozHCb5Fa8ayrIUCzkqBsri2pqEry5VDY2qWZ3Z/QZEWooGd90TfsSh9Sd
6xKLdu+FbdwfA1N9Cf2O6Fu0yFMT/Bwa6TXCIL1gIhia9L8LtYqYdsKowY1MwRGElPBBTntZz/BU
oZuAmAPIVc8BTkLpMlGAWMCcOgOCYEi3SNfG5KTM+lNM0c/QdyBLCe1Fqr6ikUcHhFAEvEEg57Oe
NNdImle8HXSBYic+0du4JuI6jGjDEmDbedhHW0EThL4P6MXOUs5pTABTU/qvTrOpo8x2k+iWSp+P
psI9F+RFRoHV3hjyE69ucgFXcBWaUFepQJKNcdNR/0RAXsMz3uqyMnc93fmDIOnAkn4PxJXW3lRS
D3XbnuUkIsKNlduahzz8zTJtqhXjRL81YB0clWEDNisb0Ec3z3Iub/p6mI9u6RDju0kcaovQnpa+
8td6pEc6zvKuc5mkbcssOagTpRe9W1KG2+tMMM8Ji+adXRTqqKLQvHVNptbC+qKMrL2D1nYZS5dS
fY/ri2LZEXhpuhtmxxOFNj1D5C03DVlpcTK4N0TyKtr19SkNHPjvnf8yLmY3WbAHZ7tNdS4VGyCf
uGuIXB42SGP6LRNVg4oco1TmmDhf0gLKtxpsrwq/1+ki3/AXInzTe4bKKDNrP6rEopUyzphsA/4U
BOKxdQjJ09QpnvsdAM/uQlZHQw19XJIT0LDyFKznLecJEqeB5hBlDWkF99jnCIYZzQ4lJ3i0uFcf
bRgmR30sqWWUMtg3VcvmsNXfR1zUgKsg1lsjBGhVfR9yn6eMzRMMdmeHmuoj04YL9Y6nOTQ44/Lo
ajlAz4aMIJ4kkXudzfPO6MW7W6dPdAKbnYkxYdfRjKViwUcldcgrJnktvkaznDb9yEJ/Mp8w9GXH
IB8ekCpTYK+OnTRRp00Z3O7Ifw4G2uIREtpkHCo2HtPJiE000cnTJMNqn7X0WEsj/5mxjZkb1W7D
mVaOWxKspAPcMoL6QnGDDVFNpS9vGLemvLnhzYoHjvJnFA9n2iZYhRmQ9gSmf1aKRUbmVnfCdZ9r
oyZC1RI7TCkENOIQuWmTFzepL4Ove+B61abFN/WQoEfsvycDCot57FoquIT9RLqGkbmFC1504ybu
6JTO8xwTdWHgTrSdLfpxesWHLqei1AMkzKR1Q3ZSgS1yNDYj/FJQBdankOl8NqrwgIOj8gaFed33
ka3YpgvHXUf+TFv+kCeGOuhWNOxHVo5LAFhUGfquW0Qbc0rofGE/EAXT31KCzI70fdkdWIoc1+jY
EPCK/2TcmG7+kpqL2i+rvNK9STpKchQjCT4Kt7brWY5pYoChCu4TlJRRG7adATZFKmjMQa0G1fxG
JDoUmoks+a6fwuMgZrYXhl0fuzF57SMME3BtfDa0McXNBkp/rrZjazevs8VAN7TPLQQxQu+c4Iiy
DbdGFrKNNehAi+xuMq0H1ZtYNIZpWwalAqQ2vZQp3PqICsDjO01leOx+R8KiQ0Bmi8aAXIxRTzCe
JNF2EpjeHf0s4lRHnbyxLXEehiS+JckVygHEIoJCIhyX9rdqGa5dfDTulCHzy9Q3zbWPZp75nmZm
nL817tmmtWjjJzTrSVDSpL+blf3dyoxH3VZgaf1Y29eKrFqJaL8qos+5pZKCO/etJXybfUis8p0e
4DIVRr1rfemcEM11+qfeRxX82dDTZlrTJUqKgOgJ2ECEOoQImcl0ZIRp6RuKn5XMaSYwYExLJVzU
0XY2WkISHappna0TK+umV39OHqm/cSq0pkvBSjwJM7riMkcUUFXdUWMXuWEh4vW6tIA4BjukYPFu
7qYD5Fp9IpWrqBCXlBlh3MUk9nF7C/f/oar9g5WRWyYIkN6Ukta98aUiqIxt4xQeghC6sgass9WH
6YzGql1QBHDMnSe9MAjuUeZ8YPO54MPRNzmOuRQBmIqhRG79Jbmx3EYUOJEYFB6NUhCVS8A6/Sog
znsrLB/GdD6RkUO3nIyYLcnEHz0Ak2uggdxCm0sIL7b9OkUPBZKctp24zdz8qDXJvBUGe4UZ8yLz
krPkqgzfHAom2xo1cux/DSb14k4usaYVSEI7G9kXF5ukmr4lGrGgrQgivp7BY1uFQzf5NrjqhH+Y
kqL9Fk3ONzskrqmrXxtH84akvccC+xb087TDpHGnxSTVjP7WUO5NK+M7YnjZycfa1iIT20IDr0ky
3IJEUmNduJ9LK4yxADFDuGFum3BUV6Q7NgySJRTD/mTXFe5tDXy3MzWfCC7JJWYikiFgHOdiwIne
h1Zw6Mw4uGDSusM//JpMqIIxOl0DDGJYy8S18MPAi8fc2urE2gRF8VZ3lJRqRretKsgTNpoX18VQ
Iabku7mkYOO5viOc6WWOSQCKjYQtow0rZsnkC9rJ4+TeI4EkaqukEz6QuBtXKXTO9DGPwpe8qr5r
vTwkBEPtXF96gQvBP3We2fAj38qUB3N+L/HzkNTD2Wcl5GGPVF18GvNwDTIb+V8nAQD6MZgubP2B
ow/iyMwe7IuFhrFeDK2dgTDJin2StEy4gyb5bVbpCTjJeK7L/PeL9T45+sOvP3ACsOSUENrjDppa
+s+LFUxU6/xk4TjR2fxLxR+phT213ubHmZ5Aj2yyJULNX0TxCNHSfQcZduNHxXSKy6cs6YjSpPCI
XHFsgWCVf10kjfzr2voHuxwkVlw+yC8Qk78gQlYw04pomoh+bizIQev9K6VpvbZerI9oOrL98JdA
Ev0H12m99hvc6e+XM0qfWbKcEvAV1eccEwxb9E9BpLsnqUwEq1pyGwY5MQH47azz+gA1T0SSApn6
DZTlzDml7F//YoFIUc/sQIFQm1uJQfVKjiLBllNsubre+ffFH/et6K0/7lt8cRmd3uMf9/990/GX
lLF4JpCsYCAPQwLNSqusYOJxESQhGAU50OBbb1vKfk3Lyd2vRoi/v9YVLgZZ+B9mjHSsQYetf5fj
8Er+DFW+9T5dBcWxsVDi/POcWK/98YL1QvZaGV+/UvHWaLzlYkWbrTCw9Q9RYy+BiHRc/i3f7Bfq
LPDlm5kUEkP0UgBfWgXrtWQlgBGJvkwm3feVSoVEycB2MPBrlTm5GtNCA5NFegqMJrY3KibR6dfX
FpChC6Vo/QrXYx9LRvPCRpGlr4F/K/Bppe+t11bu2XoxtFeYEEtPzIKvpIMKO/+6uvK+qG569iLp
Qy/6tv6M1gulsIWiXOAXhRFoggHPpsYo4fzOWFOJDORHtMIK15vrNX2hLNFBrPTtetvt44SdKNSh
XMmjKIsvGkimG8SQARU1eZySpr7n7m2DC//ZNs55zVCCdOyjqXwvmebx0WguGIeSRyeyPVK132s0
NmelDdG+Yil9SFriqMpFJxq15yG3yuf8/7B3HttxI1u6fpX7AugFb6bpDT1FieIEixJL8N7j6fuL
yKoCT7bq9jnznmBFAAGTSAARsfdvCsPaASJ8xFgbskiQx/uwmOgukTgV30smc3Y0bYtZjDxEktkE
Fb0KOwZolZsCf5ztn2QPIEB12AgnUIUxuQLMFyPXQEBy40VAwprai48aKHsi4go6jABMGrtJzkMH
4FTr/ewOrjA9pD0zdoFav0LLEYoorkwQhct71UIoGNY1yi/9d4zcop1Zpu0GEZNmG6e6QXJjSk72
kP/iDf+C6jM4Jo95maJE4aFDKGuXdd20SYdNSHz2oW0wfPFtOzhOsBdvEdlee/QKADz76A5URwOO
DSwmEOMiOyQ6ZmlzzFQTpZw/VY0G8cxNPZnclSxK4SJZumoj10nJoqVd0djfa7AD69rwENFBPCkF
jSmYCRTn3u1QHtcffCEqOgstWE0sZPWyYFqy9tKEfl4YNcZMZ+Z1ikTRMVT3dom4Ip2Qt5HKUErv
PaDXDWtLHENKasmS1NVK6nkkgf+wbPNzaAVowQgDbtpXYoqvTvZZ7tgJQa7lEEs1b6xppeNVuGki
na4MD+r0MKEULsWkylRwsWRxWaQu+luDPRzjFKqdCV2ALBGvgtQfm1LwSUxBtcu6ZYMsyYUt9Xvh
j5TkZZyLWJncAAP2XW9iiFTicHJRNiX+lYzz8CLhfsn7EpdOtI9981xK60vTNm9SBZyslKOS/8Mn
oSq0YrDQlH+x1LVCl/+bZhhokgkhSLmYusI46SG58V54cyIo4W+6jJ9Ww4E6DcLDE9orCWbUwxiX
FydZ8oQG7tU6iF54ew46NqGFiaoUCo94a/Ll8OC4wmlL6nPl2FiM+vNjkQmQwoxKVcQgEsEKXXx/
dSnGKEp9hmdpqgyHQOgLmnaJ7WCvA7kag23Nq7FikoMwo7yCWX4QC3Ft8gLrASxKIVxT5dlHWzip
lsadQdbxFCNMcnT7t0lAJcjp78tSJf0gOkjdjuodNIBHkli4eMr+MU6CFroN9RF1AaTdhJdyPAYR
oEsL3JoTzBMSo/V4dJM/ZM5TLkgemNlBpkQhANfNOYinApZ/ehpELyEXTYt3Uu1wuzUpdCd6Drmh
kyzGVPYfsVx2OPZtSKHCe11aiQMtZ5Tnkrv/4zq3CelTliPIktxvWbdUl8Msl7esi5FvWvkBMbPG
ib+CZfzryLKxI7Pol2tf9glRcj/MGuYef+fTL00UkmJ8I9sWIBJipPMk1F77wN7BGINdiSxeMTnR
tmN4xxSfV1kRTx/Bq7A4mELPUq4s5vEF1e5wZ8axjYUaUFAh2wkVC+hlbWgonohHRj658jlZFqPj
3tV+pO9q+GhYxD6SOoY2Ce71FLl0/8PskHHLM3K3eQEypxX9cBkjY72CCwnNS1yEigT0oNvgbtxp
G0RGdgCo2pycvHQ2rltmTAu06MRPwLyiPRlZFR1Ds44dDOZ9WIpiBBpN2oMGHheyz8ykAEeskzwG
vTiKM8NstftaS09lGvb7qM1+4YJRXTJS/5dY+N8SC5rjEs7/Z0+S2yJv3/N/NSW57POXKYmKKYlu
2I6pappuqMIi5E/NFQL4/wWQQXNUw/Q0XVM5018eJZ6QXvFIKdguApgkUP/OKZjmfxkgyCAF6Eyb
bdvU/pOcAimKq5yCatnYlJDpJHPh4kN5nVMo5yLRfX8K7+2pefTBuwvKRn7Iq3lEi1s9znmBoUYK
6b1DJi7tozdwxzyqo60BtyMKVYXnTvgyaDOhf0yDXICcadla33W3fTLLOmayTAh16i19p4F6cFrm
+4iifG0s7KUH694L9QDLQ3CYX5Kp/THPUACdGDvjCGwrgi7fw2T8ibvV3kbN5D5NJvVRgPVzUgeJ
kkAg8Dt3ZdnzgbQ2mnEtZrdDqTF0e6jm+atiZd8MfMX2xa9gKLYDrBOcghikdWa+w4lu3lcpoMTA
T/cBuyFdAJI2joLXNAU6gW/fx2gKtzzCgyRAQa1ipa6aILkmbzoF/fvIOPIxa4tt59XBqpnrGPEI
hxB2aCKshDdR2qHENw+grCIv+qg695z3qSCtqNmq32h6o+5VlxDniEdp5HXbzGyAfqfFuNdLYllW
Yp/UEPvykGA9zpnmxnL55SZ62TegyssABVtIj4jIlvg9dwP+HcDKNrE+PYRQ6gBu3ld5ttHLxNq0
psBqGt6zEkVkgGo0fXukUzoFe6o5CYuVXT43PANbRbPmlW6mr1oN26LS03ets2FTk6WBh2MhZFPa
KNS67s6Im+8eQ9aVPRuISpOL1j3c0Eqio9A2t7HmgAHHjHgX2YCeMST/IHcDtGaEMZ72T/YMdRFC
nrrOzWDCKhQLvGme4SW60301hPWZb+0vHEWV1Zih+2Iih003iqYGxwBs9hVyIGkoB10PRLLfg8Ia
DwZw9DEO+yPJJ6J5oM6g51bijx3vFKOCRz0PmzGiczJylTjt6Go4nRDtt9XbbPZ+aDBN93bivOVz
m6+LEDJLP7XwXe/Aq8XrwSjfMwwmAGDmSF828V2l1SjAwqfZgb82MHXHSZbwVR2TgEuraJ3qvzz4
mMcw615VhjbbesS3B/wBkWGEaI0aZFFrB8SdDk1BMKvNTnGuow4RFvneJMR+g48R8KdQf4TUhPta
DW0uDL/6BBLPZgXrv42sgeuBzhZnBBkbDUo3Ee4xekL1T7WBrFbmT6va5yGpCLW+Z/6U7wKtdOlP
oC3yfhMUtRyXpBg887DG9XdyC1JuWCaWwK+yCCh97eVg90znPav9j5YP2FqdMROrJ30X0RMhlBdB
swNgn4+3hppz7Hgg3Iu2L4yggUcdHtu6bzSE5aMYzU8LPoJXlgelKjYTXM6AgDVJAYRz49fKcsej
AzjqoUbXfOzydlP3VbA1kUqpI8KqPj5vW3rfbtOlCO15mQBABnu1qrHTddU3lP42BbiryTV2fIHX
PnFg7ni+SoGGnZPhoUUfqtbQYOxbp98pATPW3DyOPLN1gIKEjfqFWujnJBrecbfdFQ1CaVYXxavZ
BgZtqwZB/YjgK4pVDPv18LX0wju1cOtN6IJ9RgyEgH+Cs7aZErN2IdF5MLZIJOLC2zYBmYF8JKSf
rZXOH3ae4jXY6L4GJCax8hsNYbB0D7IrhAXV1c10JAGBSisjf7Vvd7qpvLtG9pSk4buVR/d5Zlj3
iiOQYz5EZmaPj3GH4BvebtsU2faNFrctUXd0o4J2DwesIFMVEVYFt0VqwD/U5gR5aNwo3bGz0vo+
jPXk1NqtB8mlx5o6jyZcSVI8aIU9W31KvbBBAUXwbAL1vKySLciFqQzQL/tctokdP9WZWkD8nYGm
xi4Ws8lcDCdZ0gbjYVbsDyPx93FI+FuO9OR4yhLC47IqF0ltZygymL/afh7mdeU0I27J3r1mkoAB
Q62SKbR4F9whuG/mBh0J2C29j4R0FZo3Mx9qHJwcnRCAo9yFYHzVGYhxxKgeaywCcq6UV5dFuWgY
d6ITOyEWKybLcpGLiGYjZtHLOo1U0SZHBWetjLPziJ4CaL6g2YTiSxjP9ZMRFacy8/tdoM9fCjdf
4bzi3s0W6JEmYqJpdveqgoKUXJRivmUG4bFDd3JPdCQ5VdaZ5yo5hZb9YAfBt9bPHpsxaJlbkSAp
glsX3dCj4ahielUG2aFOGF0LbfXI0lAybYNnDMSBKsp1jVBjT+tpOA7tSwb88QThxk2a6RBksOX0
PNiNo/veMkhuY6M6p4P1C1yQtVVcO97HTnMPbZWJkIitJUICX3XumKvBHzKUvCA9w7zN0X96vVAf
gD8f2MG8AeOLlb2YCsqFJyKxXSbMcGRRa/k81kHRIkw8OQcFV7CqtYHbjR4deEJipDSxV7AXtK2c
PBCrSU6ko6zx2VSz/pRhVYNqzwqaO9aIGvLACSxvXs43VVOLXdYSy8e6fYevwSHLe50pcQNo1GR6
3/sJYXL5BEg/xdYkR/+7Kc/VOj3osL0aYH1kACnVbSTuCHALhNtK6ELyLtWo+EEmq/64zG7lFFcs
Zqfn+f67einFWJI6lvqECk93kou5nSAFRDUIyJmk+NoEQ72K4XCV5mCP6K1hS9uLfyMSfg9yYfgR
jlua/ponYyofh1no7QcmhItK1X/pEzyzKeigavj7wZ2i8EeYhj+VMcRuoRKP9ygeeVfEc5ZqhkVI
dpBbRoe5yFZuymToB3YMoSRngrx7aSG31Qjjm30TxutmMg/LkZC0zzZAfEg6ifMY4vWTpcthLqcQ
W2Tp02lkvcu6F3eoeE7/biJL8jCXy1lOtbSR6wrf2poT2aN9FjtvVxv/sSo3XB3zcqmX08ntlxXy
nn36GZ+KshUuTDMjkDFBoKFWik8369NBZPG3v+TT4T5t/1SUuy6Lq4t2MhPQDwE6M2VgjvZbeB7R
PD4XkzYGu0rV9mhP1Qe5wYdATypNtMkCZKtWhSjKupW9qN3IKx9azw4WN7tgZt7qpi7m678vNiVD
PKWK9XWu+S3yC0QyjbGFWOYUZFkUPXXUtdxV1uVCQy4QySCiaFqv1YcydVsimCMsRzywB/EjTHje
ZaOrZHDhIpl9j8B9CvFAhsAnGRAy6Yg26N3fO1l18dKQCSmZn5FZmVEG0Ja6XKmIJ1+W5GLZpRjS
9kBSeyPD8Us+RJb0JManL2YcIM0b5EEKGXuTxd4PQb7LY6GTS0ROFj+tHVzjNbcYkNgN1kQo5iBd
UFTfMX7kY4ywP3BUJT22fRnP69hFCh7U0AtCXu+BbjMPEu+tXEgXkZjBsJB2ibf6lP7IJx25I/hu
mL2eExNMWON1F4cYbdRPbe+tS7ckIF3gwyheR6P9yAYIHvKATEwRCRTH95sNmUrnaEfDBzCuh0pK
xIte0U/sZ78akl0uPwjyt8nbwLfXObLfcn266DH7Caud5S6WMgclM0+Zm1kb3wJxVotoHiOl117D
/qacPYL3son0NanhkGG2a23VWrhJyRwPOK0Kso9znHzjaUTFgCEB7rYIcmVxOqJyS7hM7yrokpEm
1Hkcnfi+NJ1JWuESbZBIwD5DXpdvR+Ox1e9xbGwZvRmPl4aitfw/ZTXvup8xoLDVWBQg/4uYtPaS
A5JGQ4qMi8mc0CUdpGWHskgEWqnBl0pDJIQcUJsPt53qmAeZ4JT5GIwGqxPPwq8yzEC9i/sv/wnp
GbJUZSlyjT9SIfZE2HhjhbBczcox/hQOc3u/Qi2k2Aranfxn5GONfjhiM0wvhPOI/DVym1zIpNRS
lVsvD7T4s39XlY2XG7Pse3WoNu9Hxh63S4pUXoysZkUKiWSpy9Jl5RwhKKMGTnr5vwKlwygFmpps
Ik/LXJM+SBZH+apdivL9llfDyO+vFzCRJ1ouOShzdz0yTlS87ovUYZMCbqHiK/NWSskRNiHyG0zm
G37T5d4L++RQNGGoAmLEoeRS9MWLAjHD6hhTyJTc4sAjq1frJnT2dhPB0FKL1lffIPnD2l6jy5dF
T45OZPFy9biEA0m/HQuQSD1lxN7nHcJCGYPjFB9Y2/zhygsx65Pu6upxyTbLklxcDi0zw+K1R5SP
mXlgKaulsWyyVJd9ZWn5G5cNMt0sq1f7RvlLlxB6l7dBZog7J6zzg6zLN487ngDxEmH3y8XPJTh8
bHPxzxJOSPI/XZ4tb34PFCU/ymcsAmD7Zzo17DqGMvIx/X1RHuLyqRqLqTlgC7dZHJ3kt0RWLznk
v/2eZFUurtyg/o12ssng/8T8Kz/K88vr6+UDKotypS8dRi4Ps1zr6TloqmWHT61k8br+6aiXY/3z
rp+2Kxq4pRZo/6xCcxfPsexGZEke8XfrliZyqy5HgbK4LORfs1RlSe73j0ctcTUDZSquQS5kw6tT
/W7d1VGvzhSID/6obusu7Jij8862RBKMvpr3i1ijLM2uUc7wAP5ClCybl3UXhUZZrwAi/aUQKfEJ
8uBL08vuC3LBNzGH1shoXZ5oW6b3lxflU/1SlC/Sp7XLi7XARXwNZvUYQV9KZo2QHoPj6ieq97au
mg/pnNhMnlrgraWHHRfBN294ScYcPbumU1/4nOBwMZbOI3FhVEPmrnqBtXU0K3SjZs2evudmfsDn
VnnRNd9Dz6SoNrrfP6NvEu2KevS2apyERyhpo2pbT/kY6/xAkJ5Fk5Y38xTlGydoSW+Y2c3sRIQb
iZMgdIc5rNsDdETCnxz6aO8+IWs+/eDL5wTreDJDTKrmDJF9mVuS3avsWJcF7FUCfUv90uXK+u+a
X62TXbdcdznD7/a7nGFIvBu72ask4mVmVS4+OQvJuszEjoTOCYvJflOMK2Ui/bLyt9uXw10SuQKK
gV5tCe5IfNQueXjXyeN72bJPqmYHEuxRbviU0/8fxSiA9mqlxU8tqjFCKQByNdMAIb9FiRVOAJjP
8KeT33RKyR9dfEW1ANPk/DXJUnMXNTUg4cY5DUC00d22Tr3bml+bMnrQavvGHb07I+/fIxfOplDZ
1pvM+m511pM/4sqCI+hafJ63EUP/w6C5IEBmB/WWKCdXn8/NptMw4sAssdlUTdcA4cvSDWa7xDWJ
M+5bpTvXb3YQWjs9YGRYKW7LKR6CVA0OPjpN23Qq6lU0t0DfwmJGmqE54KmirjU8nzX62QNdvKAp
Ap0tHGujKP5Xu+u+B+EIcTHNYNbiBzcSZyPK1xMFIxAOPERE4P2pRgwdOSlnHA0iBdMdXCGiFLaR
EDLMip2fBGtk7jClKilZHer0wTAj7NHgnNH46TY3iw/8gO9NROhWM3Lvdqn8ypRxgm2hR9sy5MpT
YE+2OUExZApeFs4DugPvId7RB2wr1wQHADH73zq7enSzGCUhVGFTm7vap+QJfxhe3t51E66vXoVa
SmztnNq3t2mWf0xuebQUPOSKcBzR4cFsakryh6pQvXvmfT8dJB9PKpq7qFwiiq4Tv8aKyTymfQie
X8il5uWugg0BTibe6X6eoSGWNkRu0i3TNiLnTQi0NrcPaW2elBg0YTaqCBojwx+rJBE8F1E/rUSf
EJYrHs/KPgH2gNMlctlC7VrJjecBd7mzNVUmXFMEDipAjqDIN44TeFvT9Z7jsZ3WidpEj7HVvYbw
CZNsVL4UHiCe2dW+KIgOrmF5mSs+UNBENP82n+t81wX4npXGsJ4Ag5/z2pq3eQ/4uxvwa/aqd9S1
kKCDIo8sLaSICVbsjaPhZWkr+ffOvcsnNDX0tG1WpCQIlGvOSzZp78w+mVWaqYZ/Oiw1XKv4uSNB
55wwU6egQ6T1P2xAtmvPLE7Qle2bykAEySmTtfj6hyR+CbxAQh7zdYowXwtm5Kbugn1oah2kU6CW
xpHsorLFJv67iTnKDhPtvOrqA0IMmGwxzyVX4Wn199loPjLParapZn8xfdI8Tf7hlFr4A6z1j7gc
8+e6T+JTjtv6xi60DY+chhs2sXLyLWuzHs7eHLnPA0QGZ+Db6ZvlrhiCmxF94cNg0a8UZNg6XTiy
dn8ETpQ/JEPy4WrDIWrccgvulORca99NsHh1e3jWwU/Pdq7f8qVIiCB0IKVRBkxGNLFQV6q3dVW9
ConVbeTVZL5RReqb+GhNPGxJF77PrV3CQE5BV6bxtvbN12KnFwOsDLt5swdSCfH0Ggxgq+ZWv7EH
/U1xO29bKBEYpH6rNk9T+RM/mvAxVjPcaYGX7gJsakcL7UykU+sbx63RurOH77pDqr4jRjxFUcAj
7fzE2ByHSCVD8VOoI9i4oTuFVq4N1fmCiGO2AVAGQ9Ef8S5EMtZr+GIgdoNiHkoSvcglpmVWrcvS
+8CQ5Vc2DnvIlPNNGuaPkCbOhGPHreNgkcdcU0u/eRG9YY9Vbc3jp9TKMzbiGyKlh0IXxA7L2ptG
8qi7qb2qozu6P9tKMI+tnGPA/7idqmfUZfWfQb4q++LbkIf+xnSRDR1Sf92k3EhFS89DjJVEzek2
wfRVt/pvEGeUXYqCKCR3/pS8e8jwmIKilGwNBZC1WWbhwTVbe6VVvLWdiY+iAzKztwr1VPkI45I+
Sp2tkTVfTcY7EBecAR1T/ezW4ArN2H/U/Whb1H68c7sWhgJEIuhJBMlVhZtQaLduFx3MuhzvzFHB
R9hs6CEm+qUsqHA7HuvphvEM1pL1L7Mw7QMekwg3Aa334Z/3BtrSEWzq1sSGtxVYt2zo8mNlMiO0
dRMCtiYoHqiJoBqFA3HLnzpVw3DrQwdZuSSZwRAS/ffK+hDhxga2GG1evvy8gR1g55TA7q4WugCz
IwgGo9luXO972ZIz1WtSQYEa/FKC9ieSxfO6NR77wXCO0NSRvK713WgmyToE7p5bYXBrzPqLpZYQ
i6ckOSNReTKm96oplbsUI/oUt9/bQVEQy8piYOQo5BVWj18fqtmoHQKKxBnByXqkrfoMNWtwRG7g
WCu07NNvfB/PkGKEAjgPaj5hk2TwsdI1lLENJ3kiurxB3QgUHHdsk+CKvjeS8C3WirvYRTEVbj5g
oLqYV8Tyb3Wlf5jb+OzVfN4wV/vBjHnfVIKcBdmIFNHaQiFhRVqPRKgf3EKeLNdd5d75KiJIRg31
Hsoy2Sp7fLQiC5kfwSIwi/kAktY7n7SSXPDI63hWlZcU7adVQJgeUoVtro3om9oM7jZ9932y+src
pbsxZmANfQaW8VdoERCklMcqTSJQP/bjOBl7EnNJiAcAwSMD7uN04w284pXrbRsgpGuYQG9kt3lB
fQ5UmBlamDDMrUx7QUerfUSXq17phY6Q43DsUu5Qzsel9sb4rKmg+RUfXt3NMDbeUxAFw7E2V0WU
zVvwPRGjgR7uFaqkvjccYjxYEjLKKdz2GBm+yYYR0A5YotNDnfTMa9dDyngcaYttriPTgubUuEV5
gE/fHD13+lStpsxmNF0p5DBzhBw0vLO2uoKWNba3L7724MwYwAwQcpw3w5sTqDQ9oS292hqIbG1V
G8qmFVoWuShkBzGhE48tdthd1J1BzSFJlpxN5XUaEmcfGANvfYoxax813+dBRQnTmL+M6ENFTcVt
wIAULkEBkTBV9sj4Yp/jWt8nkBpjVp4HJcXdADX+lTFmCMb1w1dgZQfNyatjG9fj2sZahU7uiE4r
pohu2B09G/QgknV7/EEcRI0ewi5fwX3jOxnAvSnnpxgrh3aVhgoE0UBFCdcf7/wBjU/0xrc6hOxV
jd7EBHOpt8KPMp9vRsPxt+RruRORtguPBTg8/qD+fs7UTWk8g5JwV5hDKpuxpUNNbSFnUTPALOcT
vRKZ4K7iFYywwUCwvAd9sQks5Jqt/ugh/rBSMf7xvPBXNiXfQZrAZyMucVPn7ZOOCsAOcXXrMAbu
jzBLvliZ0HQNYpy9HGwLm3RkmKRZz6HzDce8nHQ0DnU1nL+tVkY3mXXrKG8Yx1X7qMOVdFLOyjAP
N1DL3tRJsXdNwbglaBmK8TUt8gTKa9+cnWJ2jjj5kLUPW3TV+ShXOBZvJs0h6zsgmNQBVM0edMOI
j8PQfXUn91dd2dq6zGxj7fUVPdR02wMDSNAGWdsuBBFkj4cQMpOHGt0xUh6gRKOkZ9MXu3p9BJSH
HCQiZ0io22gjeYiWWBZzBogrln8a+asOiI2aO+U1H3QG6hjSnnWYVXnmHukNzeeIr4Pjgp2uX7IZ
B3XCVGe1fkhGZGdgS/6cURH1czSvIiBAUQx8KDNv2zSE+1Ti7g0CeFchZmF3SE0VljcdB9+/U5se
Y9zqiA5nuo3Id85RN+zzuKqxq4FcAlEi2mbQt8qUj5/RDA/dOJ48xkGMqtL93Ewteu7I21fewCA8
UffKiM6W0aqHMc7Mx2zeAHohERoeMFz/nk/1XWMF9V2bT0BJwlq5TwNtB3EF54uyvGuZQGuumt8l
0bhDqZmpyYBrw+S+ZZlOghA5v3VpI6+FhvJLaFebiRHA6JdPsYNXkYY9Qt+mm85AwT70m3iTIhqS
5vM2IC25ifFAmirtw5kDiDtWzGQBcjHKBEa2TrN4z7ThtSpguXRgDhDma1AkHrDDRdwYJHt18PIa
fymQBJ6DRtc0wAToXgZAC6c8fuhUQ4zQoWG7efYOB+3GiQgAob+LRuAEyqLTrP5MHN5e9cEx7XgK
B72d77w0ex47OFauNbwWrvetqlNsTo30I4oVewNzGrSNUx5Gg+crNe/qBEPStHa+NSB7SJBq2zaw
09OcI2OdIwmptM2wQ3mmXfsVvMM8RpUPK1b8GKxNJkjOM2CnOFJe8niKUKRANB2M/1ZFGYm52vzN
Dutqq44pqhX8l7YV8+QUDaa2WHP5YxfubMYD9VSUGxdgGkwUFLZDoOLG3WCgQYkhbrkvp75H1xz+
LqrSg55q+8DxpoM9x3CX4MrWdpehNsRARx/HAQKp6m4cDLO2ffCo09/sFGcgD5PS5SZgvjQLsKkT
AlbRoJ1ixlNYfkd3Bs9xrBpMBQEXr7rQSbYD0c5UyKbWw4ReTdny6iNGNrUEn1P3JlFh9kXYGX7L
mC7FAan8AlTa2qpr9MeBsM19BQhGbTPEiyx1VZMWG+sBdkvc9JssAD3GOPi+hT87pkw++JKlSXOy
HCDRSJij5ppNPqpyA+bUIWhs22SW3LvNPkPHJwWDfZia+DGznQI7IxD3OHhvYz/iUlrnPvczlFxG
ZPtsW0WEsu4fY+QULWHaFTqYiqs16DQVOtmG2TkvHE8g9jN8/WEvaafQMzAsnNKvamzwmafTgrSA
pr2DeVDjhv6pLtAaaL660VNotl/jtkAZNEgK6Eu7Po/xoh5ADjQ2/DME1QL+PNOdkUQdAVh10JVb
/AmMArqTG3pfwxKlJPLej7gU2HsQZfneMSvIsXECTxDFNm3WtHtEQIDT+QxmNKzmNkOwnZzwV8q9
XOM55u0xnv8jGuwf5O/34hKPsHLeLKJcMDLSl3rEizue2oPVBpgLxSB+/bzeDN2r7jfIm3rImOwC
y8AWvmqt868KHs7J9wN+geM+6UxBVth3lDsTSdfARx8ZLT4VTBZybPTCAWqhd12BF6g1ottHYBgM
HqZ1ld69zHr3mmFNj260gxfFXN+paBqQESgcoiA5dIYuzXcezNPYFTlY28FmBCJjpkz3XYVZSYNK
xiaqUFXKDS3YOl2MH5rW/h+2+I9/y9PRIKb7/8MW3/0x/L/bP8boZ/Evlo6X3f6GFxsghU3bMjxD
BQysIhX0F7xYBURsGcj3qNhjOLrNpr+cHR2xE1hk9nLwA9MXeLGh/Zehe0iLoGWCEK5m/kfOjq4H
hvmzhJDqeaqp8dE3LUtDOMUUckuftHSq2AQRFuTxTUMcKcCMBhX2spv3STrexC6i9kyyAf+EOnGq
tY0H2Uq4OStKhtA0Q89tFVo/zSzE5ty6KYZ6RFQYYrdcCMeHkw+kGQmp6S3TQJwZJWQOL69A58pi
7nq9hiQ3azveust2WU0cv6Jf9LA/E7klyRMpjYoEdjfsYpHzlQutacgxy2KJYO8xyj5ckRxbYGGO
SJMtVVx7+D5oiuCTEttdUGKFTGJIwFg7m7xSmTNtJGxJsiukAN5SlSVPwyuIWMFBgngCAecxRJ5i
WVgdfk2daZ0l8kqii+RCwo4GxVJ2c9TcyFWlj7A8zhMIIfcisNLnuDyhSd3DB+yLAp3vpt75PZJn
uORBK7oUHZSKjsn4ZJU1rm6GwCFUgqUpF7IaI/IIUlv5VRN0Gc6IpbRC9qHfTJYSjzggFpsUgRQ6
ALj4Zf/RZtODgo3LhoA+GrUe9l9hd0+0RHB2+73LDHXlKAm9axe1+3Tsv/hE9zS/Vg+am33p0I5C
xrC+G7TEQhuGTr6MgwfGrlVbn2ecgQDEUmL6XuxxCH73k2TrGApOAIPZ74CIIfmCnRn5MwSWDWZn
IjUaiFSi/G9iu3pJZ7wy59tcN7/K/w+33wjLdJMg0YNZwPrV0E0HaYnEO8GxyVwXqv0HHRHpFT/q
TjzP3UmWYEn+WVrWGeWAa+hSl22W6rKfXKd6OO6sqrTf1lMHUvbvA/4vh7neLA8b6CEhLFm8bCfw
Akv807XCaebirq5BVv/zdbUgiiY53gfLAbJa/fOGXK3D3GLeK5a3g2twdarLLbi6TVfVEe0KBlcg
X+XO4aCV+7rxT/iY5fBnAHnIRf53NZFZoaUuN9e5QGvIfeSWS6NlTzOa91MLEDsUDMrfHfZq3XL6
csJO+7e7LG2Wq8nbCqlJuD+b5eS/a7ecTgk6b1eTglpWLbsu65bftqxLGv2+tu2JJ1xkylCzegHR
EOxA+BcAX1iUTVGr204DfFPrSodY/lVRF+RKZQru407TiPZUjbpVNcxFbCUI1vIYy9GuqvJYiZPA
s5RbPF420E3i5Hj0mYfWJ4kpzve7/eS6y86yjbyQyxGW+rL31boiG1HWq9WCuXEIucx/M7dDBhKz
tUFiRmiBwvoS9Si1RxLAV0Uc0hmmp+Izer2p7A6ZEe1lAlrIoIAEygkqQ7owVwtap5ZdwqdGgWy6
IHmWpjJ33UEG2k2JdRf/q+aBBAc1WsQXWlPqbjdD5JHrZDtZspoRgP1Sl6CipSrbyIXEGMlSqMI3
9nIdtre4O/AMIeGJklxYhcfwFyr6+tOGFicJYDnEmARJjS/058Xv1rUJ311YM93fBHlZ0sV7KkuX
bK3MwoJuPpRmr+0JSnsiEm92p8mFgaLl0d11409Z3gvcqp2xFEKE7BBnjB/kout9rr4M0KYKHQms
+nMB6ZePoujr5AYtUbDJK4tvaj32R1UgZ+VClwjrPNZd/ESC11HcKvTZhA6boZwCtYLk4qIUi9gc
aTzy/+iJ8/kbBJJ3Wch1YWH9gMEPZjHS59Po+POpF4vc4vfi83eUKhSLAEXMnLE3i/I4da51GsRC
IyO2tzv7FKrZoOLLo9e7wJyfagHmQv1TWcv/XP6/kwCSpf7MAyNXdvLZsUQnmJ7nlGDJ2jf0mq83
MVa/HWrAS+IWyRvjm+4BI3uUQGbVPMHMRrNelEKLdJ8sTXaHsEeHvG6GkyqyLoIICXeRkQYjQBDi
Un4gBKE/mCq5ywmPXH1sNtYIOvNZAiUsA23zunSctWURidzCpQm2ER48RLpQE0AEvSD/GHmnlPTa
NnKVATVUh8BujsvfqKCYJkZ1phy9SRyRrEsY0WWlrMstcoFcLuO8Uk/1tVGM/upSX7Z/arRgk1Az
s3e63t5eDjkzMkQzJW7QhzWeSYdlaLG087yWAhKLqMRIqtYvEUUB92drOEdJbYmLwISkOgscOFo/
yA4j7Fais8AnaGnTKipbrpovbWq7Mlc66vrrRf1hlhxXWecpQzFDSkT8dvtkEwQrCjfeXLWRrf+N
dbLJ5SxyF9y/PwIvECqD8KWXhfxp8lf042CBU8y8tawuchu/q8ofmih7a35sRa+wLKSqwFINRA8i
9QW01t8Z9WjzwIqupZC92dJQlkYnpV9b9lk2Xw4bIbh9uFrpNII5fHVa2eYf15GrQw45NXY2CGUS
RyCK5KINag51XZT1XNH+bHS9ubGEsM0/b/900Oumn+qX4qdjj/rIWwec8nLo/7FdNp2jojg22sen
c/y++PszLRedTNqXySsBEoib8ekYS5NPh5CNruty5afdL9s/HQp7LbMBpYoNsP5pkf5dzTDZMonl
ECOkxbJ+2QF6LwpHc/q2rPLNVifxhCbnWhblli51tcspiEairYHTAENVsNsspHjDLGQcktiEUiWL
cqXcjC8Zs+GlpSxBw9A2Uj8iXjbbnZgsy+2fDqcLORZ9QLkAdIhQZhHnvJxJ1uN6/jKXHuaKXeeR
KBab5e6y9OmYyyUtm/m7nxQN3LMGzGLb1/pX+a4sb4SsmgEuVofLe2H3gjS/tFIzGO9oLP03e+ex
5Di2Zdlfaas50qBFW1UPoKhJp2v6BOYSWmt8fS965nsvIvJVpnWPa+IZHhkRToLAveees/fajPS/
aQXf0sDouwL6Fir964sJTdyxcJI6xoTOhERFqdsmJfb47y8gsLEVfP8yX1JNdL5/aX02vRZvJ1r6
bGrXZ0a9lmeEL1V8oP/4Np/8JNlqplmsZqFviaWKXih26CDMiuCZbf859+pHwEaeQRoGTh66mnQH
L6PZkn/5jEAp38XtLPmdpL5Es2oBVeO2TflnSmtndQrBTv/EGHyf4f91pF/iJgJ6zDYj9EWyE3sI
x2lIgXvNsSLmvNroneGkNf18gJkrYsUfMt6Lpk279to2Ja1gy70jNXnmmTrcOEFzE1AI/zq7frci
vk+x+aSNXq2TJW6Ng7T97kL9Dwzg72AAimhhnv/vYQDXht36NadpHDefP/fsvv/mPzDD4m+6BBH4
2q2TQW7/0a8z5N9wMOoKCdikERjS1fP/DxyA9hvdPYkkHkORVBXq379wADLMYjQA1hULjIFfVP5f
cAAa1OQf23UAhg3+JcDCpijikv2V+K0yXg5r04Dvymg2jfUDBmCPXDPhod5na0NHD+bXBl03D8ln
f9+9qu/hffeItx2ZFr1wMOGclAzhqat2fbAi+YMgB3KKtGsS5NpK3GtYMIr+ByI/6gJK+C3Rh67s
F6/KNVTYg8qbB270IH3UO8s1NpYLdu6Hz+Tmdwb9j2j6PxHev98jIyxLozvKf2jC/tiSbAIZhX1u
LtgFjEcOrLcR/cjaVG6SUX3vm/5LEASiMtL4osXS7V//cFjS/+YKXzuiMNdEg/7sLz+9zIOpTkKF
bKgHa9yJX+Vtc8IWLL50fg5J2Cbysv8y7tTbEuHOLrKc9E7wzYN1B+N2ORFCrp4lYi/2qAhe8+Oy
Sc8pmTnHuLHHc185rQco+BV4ICJFzFjJilxRXGXv5WO0V25EQoE+AQbonmAtj+lnSi76jXpBjkNs
QwkQwNYOHXGbhk1out2/1A/5w8D8UNmAuSPv3LBcZQEB5kiNvdQOg+d2n+8Z1H3AS1XWAI0hIRMX
xyJnus1dfZRSR9q1K3OruPlL+YC4I3pP7nk7/vRUfNHyuaW1Fh+CNbrAVLaH19Bcj/v+lDDJ85PP
eU1YjrvMHlP+tLK/5F3dOp2Fj1bYiMAW3phT9+TYuflbi4pAdYVN8zKYbi57zQMxosQcyDKRjXZ4
j7vIegjaVZac5xsSdcJDqAOWvC/P6SfUXLQ5wqG811bLLY7c4ikf78URlilqGTvcz8+kCvnAlEmp
1b5IlgO1rG9YWdPQKxInJNba9EdGgISDhMw54Trb+vxMMiMIx0ViR5K8Qjyroo/kzTg3L+NOfytv
glNXHuW7Ea0KQtJyHYdORKDtbbwSjuiCj+EWvnx4o++YP86unjmEQVev2bY2mRPa0ZkEoK/EIz6i
J8WHmZ49vnWEUw1+RM9adzUneAYvWBHfdt9FB3OnIhweAes6iQe9cresVJ8tibhq4GmFrV2kj+CA
FUw/LM+4yyw3PwVO9hId5IMScmnbyoWryvQy15B22cnK2GNKB69GuODTNUxExcbvZp/NmfH3dCRQ
Tj2JF3nwtNtwY0AjY5RFaq3sjDAp7weuBMKFzjGMPe0ueZ289pvGyU/yrVTZ5kP4ph/7dtcJdvwU
PJjnJba5tdH8dC5SDWWjH/PTuOEwmCt749yyh2detS7eRr+onGRdr7Nny71mDpM07iQH68Yi0s4u
+5VROZMH6ZSnw84+hyM6z34nJ/cJ0cEnbDKnNvORjYl4eFH1pNvxGTuvcQb7iiJAxmDvZl73qq9j
N0Om7lmRs3gtshbfOmtbSG/Roa0cPb9mR10P9Lb+3jjz9Q3qfuEZmyHBE8mFtKVxlRzmdVCtVcNu
nOaY506/iUh6dCRmpQ8K1GIRkZcXiA4kugHqJbHNH9lD5OFTuKD6y1YwZtfTDWWCvppBsWySh+5l
dtfzOnqgchIYMyAFOxl4wztbuw9e2y+h3UL0lA/DsJmfCL/0VLo8554ZNFThFflhEOCn1RQ6rWyb
J6V/sM7DobtE20S3jct8Kz6JLulXjJBvpVMz/s3i/GvihGlKsoaAF7q9xDan/ZJ8IWcL+gFdrtct
fvaCMF5Ej08mSMm/Xob/tAhff4xmyYYlstnJ+i9TqaYR5l4MQFtrElma/AhrnjZzOH0ubQx/lwQf
canZ4v9ZC/ybfUcm/+TXtd+UVJI0APrAcGcuxzb+486jhLWqT1bbriXhyqSJA0+jc72uprCxC10R
XiSttTNK9KB6TEIotpL5Wipj4QaIOAZD0Mn5ne/LIBjWiynzqGUo23sN4VSsiPu0n05TiIarNpvW
p+mEgFKMVY/YI9NvZOKvFzAL8HLbYweD3M8WvHOlukOVm5yKRan36jibrpIY21T3g7ptH+Wq1xBv
xeiExN5CmVwyiDOX2y5nyM9dbgjhfI37grJRPnSa0d+FWisfrKwgb6hCa5DSkwGaU22sjjmUUXAe
+oa1i9XFGpi7aOhmcsPPtPeeePoaYrDfkJMK8INuMPmpdbcV81RaKeKyMdCz+Po1Q1dFwQLbmSTB
pnEqC63hiJqOUmO4iQveAh97x3Jgkl3c+nUjCdtSRIPLyP9JroiPIuW5gogYf/VNlx7lEWl/XIp3
qR6oh3igf1IsOpnosoxIXhMo7+e1VjdnPYvB6c+0dWIEGFfIHy/S/JLvIylgTS0ikLnX4L8w60pX
C2EZy9CiV2pN9s8kFr4gY8FVEtE4dK1xSJCqurQQ2fgM9TQ3Cu07QX0brUk9kgarZjK5vmSIrodB
FpCaae0mbUlYHJMbYPjvlswrK7TlXoN6w+u1SzP/aEDsrbUKYDS8+lMydIcI/JHTlTo+iVh/7GME
7yp+iRHgEwI4ioQBrYTUqJDQdf1OW8I7sWrg60tHEa2TMGs30vRRT9rtUgnKCkTP06RXj9WUvUYn
8uhzr53a2ykq7pIgvJfj9oMwPkSy3MCL2qeO1j5df62OnjTGRNHHRDxpueKG01UwLAq8xVRdg14Y
C8hH2oIqTVaJ4pJxJeRJojj0/Y5RpT3QFz0InIsc1eKTNuVtSUtzJWSqsG4AwSQDcnAFQwBjw/Gx
qHJHNEcSkqrQ9IXpE6GiS7Dr/VTJHzA4IeoVDQsfaE8xXQlpP5OjiJQ+6vUbtGkh/VIwMceBT2AO
yJnl6mTLQZorwN8Qm8c7cLVOV0W8jtSt+gwqETl+JBBePzMxEPwp+7Sy0DdQuyqR5o6F4cFqczqz
Xqs3OvGUOb31AbhqUSINT2v8S72jSYhdJgOWw6bHe0dQsxNIL9ogOEYj2imFV6F9Jsjhp7tl0LDL
Dw9mO+4RzMC0EH21ip2rzLKFSdpSog1TrO9yo9F3ZHSoqzgH1h5pRLGGgSF7OOrYNJpe2QdCb/Z2
aBwXxU1KOCAaCHVahBoj3EKqN4hbaYzk/bpNcQIgjpn6XVE3t0IZBivyl0N3SpPGKbVI2obtIm2v
0YN4LMzWNQc5hNQ0bKUezVEagNdGfO+ZkkhuUhn7Rgtv8vuLPss0XuKGmk22umhVd+ZN0A0F8VZa
6ybMpukQQqsYIzEFUTCmW0N/TdKrPe37t2LzCYYEtlvC2nbfv6NFFjTW6x8f5HeeiGS3aAVx2qEk
OnmtDl6IX9yOuozlc7KyYBv18mcdygId3SH2bqA24S8+LbcEtFIuUgJUa9NtDyW2bztegfynZAwu
8sOyli9J5REAesgO00F6zVK73YHw0i3XgmVjs3anl/mOZ7/eT5EzfRFM4pG4lu+Vo3mxy3MEUOwC
cV09Ra/tXvUnjN82ce9v+Y6SXbQZ2srPfEb6s7lr76I1gSJEeBMKaZ6MakV2Fys9ZPNc5UI5IoYn
1W1axziKN4hkwQmFgH1hiIEFIdsOGaexkc4m3ipbVO3mIoFmM/YSawJmGwpER09s7c28MT/MTf0Z
D5cI/VTiEhqn9vzF4YvMLu1x3Mu9gwNPsJwipepx0s7NjtbKeCzvKeTDG9OeHo2VsRJP8cpoSPlz
saJYZ+Ure1mSVeGYb8sL+QvGqm69EjJnQm4cZTOzdRe/71oi7gBFF0pDWI1b0hKQhzpmcgS52Ggr
XdrBOQtlfx7XEwwyqqvRU9qdpG60hLfjNd3OChzxACWFtRTBFEOQtrar2rvSypG7qrbgjfqNJqEk
dNNzzdq0y72RUYIfCUxrWBDYT5ymcKaaxC9aw174lHWrytUoTo8mrxwh2QbUXfMsVysF58/olLPD
qC8jpg3UwkkGmLLhC0ICms6Ix23N9M3ahhr+zDVOeb7mFQq4RoGS45j6fup9eXQSmkyDNws25MvY
i88lV4vq8hMAl9Lsmjd4bXw8IDbReKfkodnZydK3Kdr5cK0Xt+OwmayLcGQJs46attUvSP+HNbdF
Lmy4xFccW3hnHNWPAeRR6nEk66ptc3VTSM5CzWjeA/BBupkczXinfwD6OS+PwYnzU3tpcNoVt909
0nJ+dvhC6ftc7KvN8MGZrCAx71Px46N+yF97kkcJ+X4aH+KJtEHHOvLYpF5Xrk0Cj6GqPVR+cxdx
1Ops88IToLzlHNYSl4gzdHoWcXjc4A9X4perHdMHjVJ1cSF36YlnVR7yxKfBsMNxTSpwBzWacv0g
k45L2c2lJnOatFz7Hs0/hjCjXtUPyEbmcMPb5J8eyCeVnnG3wSgzzX14nVp6SUrzzTY4SB7TxtH2
Uu0Zu2BLDHBvcq7hk/L5N0gv5QOCKhc89uljuKyIF9DTVdbvhDe18OLbUFozSSCao6YQO1qnqyh1
sfPpMG2GfQrjK/S5c4nfg8C/QqeS+tO226aHJHSpbLKP2XKSZ9HaZ/sASqKBeAIyni3iEH9rapsm
dGlH1CahbTxzXzFdA7oGpxDWv7BG6vfWv9HLXkNSa/fRupigu7jpc7bqdIdigAMYQ8lHZJzpqVsF
sMdGTCBIoGwBqxbxF6YzmtwiDllMZNxzIC/c5QBQiJudpRn16UtDSgnDNs2JzpzIi22a3g8rqjzr
3rSc/qmkwplWpkOAnyM9IwZY0cZc0cy55HiH2T422SH2lYeCvoJn7HdwWpa7MfemG6Ss9U125jxz
6XxSkmJHPaQsYwRfuChJjA/w7OE6P0JAex6eseu98B7OnHTNYh1thxXRyyHpQPssd5kXbjBiTCck
CHPD/M3Hhyceg1tkG53Tc6qrnBHArt3dEvxwqXfaHf347tkEr2e/RJt2h1fKo0w4BxPxlBy2nWm4
S2bfXC0s+hvLt95kL39kC+1uCnSh+8kvj+GxeV8UezY4XZFsYp0ExVEptx6qt97VDqyw6r1yjB/S
XbhW5W2o0KL2gitp2p4Rzaf7qttU4o1+Vg/GXflIHicFJlZpoj8C7jpt3XxwNIhoqDQb6RmI7HLi
SHdkh6EVwhkxfoPW1sm2FXq4klrDNXqU1k6eu1Ww5brnLrrwHU6VCsTds6R4isJtYB61zmkk3xBW
Q7COhPUk+XxOQeTzXsr0LJIFpm7kxOGQilA66P3iQFtlLCkW9pwqpY+2fqOqsIjA6vbqOboXbBJf
JN88yyvrDlE1w3PU4vD1IBqqsYMSq7ebTSS7KM2nfYyj2DOtY31sIjakY40Tmafyi3wkZcNtFz4t
7/nxe5lTvXCbv9BdGRNbesnDNWWR5c03+YoW/DmMAUe9YfdJzHM4HuIXlOIj4+yGKT7K5J1Z9VS8
Bxb/Hm4nOZ/jfS9xpwtfNiE+puGVyQ3rjzUTxWTdp9vhbvaid+lJAD3O+z1kFzoQyrN0ogEyKLZ0
yjaLX5/RwxKmlp/DF/YlFgNFebUGvz8Mp/I2bm3tvcNr6ORP0BJNy0USjcGPY3PCVsb6iLSdfZh8
0uxhqsjKoAp30LVZV5Ey3lxfYrW7JC/XwcAJSOp8np6DAHon3TCn2yjcsQlOZcxZ3tLbwUsIRxUT
suRVb/VD+VIGe/Wxim+TG7PakZWjrZPLtfAU/Ph1wtSH8i92IYel2wSqzXpho3iS1miNV70z5+Tg
OvVaXHUbjqf9ISaqoVnVst9/mpBE0WtrbljbImL4C+ExyzG4Y/bjBZf+E3NNRRVwfw1OYojduDwo
4VH08geoTuS/nVUnvK32gEnSV6zw9Zfi9y8EhIRf8zZ/lZVzDk2fQ93CZR92I14UivA79rz4jDPz
ZhBXWrwBjOzNL2rv1g+s6ngfyEgJ6Y0dUbXdMUG/qr3X5iPmFZTT1omG0qvii598I2mrMcRugbfC
VadVkNjEf+MDC+5hMBQ77RbBvRb5UXbOP5WFKtbLP7VrqNZ5IYFJ8pkUFXh3jyEWy5tB3wRsi7P4
otJuydS3YRE5nIi2Gj4vOkkRKRuU6pWtT6oV2S79VfSA01Z2Ukx1yN7sOm44qHsGyNAWRSFiR9lW
DzMH9OcCo9ChUb7a5r2J3OaG94QxDKNisAk/qWGKU0ORcIZqGYRORpWwNTqPIHUrdapL0lPj2upn
wMdIhnXK8cPG6EEgVmxH98N++DDex5dAx+rnLG/1J6dGi6i3xgm+WkimbDR4VswtvWTtKZxs9iyx
cKSVsV0Os5vv81VOdemSbzMeiSq4NBW+9lUp+NLgVhBb7PoYe4toMy1TP8QNJWK8ajBB7dRDvabh
x/JSe+ExuxQbAhomp33rK48JW3Rf7wg4z7A0H+ITubxH09yJq+lz+DSP3JVC6OT3yyE6FO/WfXjq
Djmu+jdrEz8SysldgM3tcZr9ufiSlptZI72VtC1nTjYF3JjGn94NE2eHP5E1Rdi3yY0OY2CKGeMO
Zig76jSLu0VWuc5TrYXbhVNspBnibgwzaTd9/w9J7A5D3gkrEVuh12XstgB+pN33l+8/9/2r779m
jETDkcfWsij30s6aYgng7vVPo9pHZjvfZGG3HvMkOrciqdTapLiKKdpxxDrT1a3qmvh5PWKZFA5V
4bTKKx0P0IQ9NTIdQtBOIAt4sHPsCDnYIFcz0nNsRTtdM3ltVkfnVs1FLMzsIIshWnZQ1OQjQZC0
5QGPYq/hlup1AL1yQkUlGKQxz6LX4onGFUbSRGBp9DmDKPS6pLtIqR55dd+OdxJs2Bj6uV/LdNhR
ggcYX3XDrQOwZ8R037WtYrplYL7KkcrGJVS4jfHwZ03ohk0mu3iEG2/MGprmcpD7SjxFj3HsazXe
JIK4JB9vDI5EJWj8WkMfURdshSXWptua6shUItx4ZPE2gPedbIKVgGF0p/bs61W60Egxx12UZGch
wEA8iCAAola56OoyYJAhZ6IHUVLMdDJVIbmtAJCalbEz2JyCqN4NWB+kJeuoH6mQxzI4k333gvW6
3XZyQbN+4vicsP61i+ZnqY9lB6qSUW5SsmwN+aarxMyV1YWWuJynHmESnERmigrIwZtwtB6iHCFp
Evd+NJjb1gj3QTU962khb4ZRYE7W6TdB8pr1TbNlAP5JPAjHssHETzQnyUoMYvZfYZX0anZRTQ4r
QQqzbTEr3FQLmZ64JW+X8JwXhfYMdbgVShEYS3fBIUJ7eXTjJLivtS+J2BX8JdnjEGXsq3U60VOz
voiA20ntxCRaCOicoJwPwBx42J69UTYFjr7Lk9CZw7qbCKepxehrCTTaSJyGTExp0ThEa8Kb/bpf
HmocOGtIdTA8BPjCIf58Dlfj03z9YbLM6VQCqWCRezZNGaKvxSJfqvNVyRIIfCdku43ktVjRngZc
vVpSFa8PGGNgcLt+eRpr4Qkp+1FnDx0shW4jrvcOeNrvfzdPtC/RJD65YrEeOb/TT4sNvFtTZp4y
XawxkYr3nag+F1O67muPwbqgUt7jDae4tsBLjxEM2ZBXcGUBtE+lNm6jnANxVVCiKmX3UNSwEwsV
eqUxWm/N5Epx8KbqlMbx0OPRpGCuciYImIUt9WJl0jN26pYjKAOsDrcqIYX7cuj9sOLIIEeMUJI6
hoySZSuG/eHmNtIYKsFcvdo8ifWTYg4zrWjLtXG2ZuNRSEaOTQbJMYZ4SavxjbgwEoNAec4W/aC8
22hE4zQysWtWMiC1Sh5Q4SGhUFhSMpHTctSSfBnFi9flyuzVs9ytzbjWUX/G+naQ2ACM8L6f8BoY
ymrgXJp0AyQVQcR03ftti5tZiK86/VcNZSDdJzxsZtdt5IzEHaWt2Bdl4ObKQN9CCBWCsWo6ejET
RJZIT5mxVjcBXGqFeVvYVyfTKs5kwD9I9Xxtk82QEFry5aXu1hrba6jh+JCrXWLHMjyD1Jh1G4g6
dqsOYk3JOJnEp3WFvzjUBR9c2Fnh0nJ3ygWYY0pahIotpvX+KSlJew0yZjGs4fneqh8VyLec+5ML
kHrGVwlwFxXASRKa98OY7Be9dQNZTX2zEFdkmBJiNESypwkCIXLpLJ8q5oCCWA6+bsW6nUHcS60l
JCZtwmQF1FbKrFfU/KQkRvnDhIgxHvissOk09jxBa1HT+kgQ0Krrgs9IV11l6J9gHH0DUxPSdJPE
q2YGa6KKE2bYmq38Ek0UslV3EfUdQO8jc411ZdTcAF37aU0M7vPWFduaAr84kBNIbyYPD85taWqb
vK7vRMs8TlWzGkadSVsnjpu8aT4qYBuz+BqG+HDoygu2GeN6FFo4L7ORXVLBJ5GXp12LDlmJ9ZZZ
AgUPR5z58qoDxicVgMK+jWqnGOiTKoK873q6Io1wPaua421Mdr2dJvFZbK4MIg2rYs3YdyoRtpTW
XdgkuQ84n401rdZtu2zQZG+DpBF3ZQNPJRGz22noLrAvSW3KYSyHcshhmZoIku+5FITXaQBsEymn
cCh2SCdO42SFfBo98kxy220Jh6RgTH6Gl8hRNb7VseauA6y/WDAxkWKto47KDLe08odyGvmtirZa
Mw67LAofRGNy23Jw0laTVvWYZYxWR7q/g7xqWc1s3cR40g3KUVowug6zTuI9gedLttW0YnldtHgn
hYuwARNyzk1qUPRfD+OUcYjWu7sJC7wTjMa55z51ZpUFXrZWitqmrtlnnJuYtYbq1YRraKs2qKDB
KKirqrWiCKu4otGnZJbkxFKxwcm6G8z4TuD9P8Y0z9MyfUYzH7ET4xpv2MikAjABAcTiRh3EnWhB
CZCVnBZyorBONWqMGYCDvUHolU0mJts++ttNknDuWPCyi2ES+0ExDKcUReaQmIarj1BtQhko/zJK
vnJNgryah5E3czTU51c1tcCcAwtwyirdLCIA5tLcqEnXe6YgCaRxAcwoSjBlxFSNKDagOAH8WeTW
aUU+fz1YfCXiXIbLmpTdRLiZ1S7faBVY/sYEoNPDYarhv6+SUf4a64E2LuE84/0giBryKUC2c8LR
oe0PrRzFTHYjbwFqNpvdXZub9DW7ZkOsxDozYnoQjXYeydWDDNRvYshWKZfIiQNjX+mB4JIyhskZ
1GwW39VzyxPTak/yVGmOmOaXNBAfxiYiqggWTBdbT4YIS0QeJl9TxgDkSAtVNdSf8anSdUgEFGdK
ypCmMGziYKGlZKNfSvIzumNYJjo9AfPas9bk7HYRhF1ULXekD6hUuioEHRi9VADqeG8WJcATU/oA
j9wcVOKp6ONj3ce95Q9Bdxu2mzIz3nQ5Ft220LdhPn8lZUhat07ABVliTqmqXj/RX8NUENJyjmQH
UbxTTzzVRv1u4FTls+SWiNogd7up1d0UfWBaO/JQkN8rSw+B2If7oeegoKKOKANyoLMkvktzsBoM
aK5Oc1RBNaPsdEACccV0BZY7MdGYR/oaYWccZIXKgIXtYIgTwDcLJl1bOh0ZEau4GE6D4gumzFw+
6pUVhCd12+Yj+YfXX/3y7ZQR8EiiAiL09C1mMuRJSo163ox+/PL9e2ZD4GAshi/f4rrvL/XAE8CC
JXl5RdUWSPJFvIZktXrxDgSnhUthgccQBbAQddgR6TPQ4YtCDqUSB9mrhdCdBgE+BTHPasbJ7Ros
OYRhuVHpOmkZ0v20zv740s/VWcgVw0eXrm/bZG4KW9ZKYytHiv77lwJH+ba7WNJkbIV/fomRFwC9
qTfJNa0yu375DhHS6r77Bonn5PhKjqIVN2Iwyquh19J9RmD16nva/T8iwb8RCSo64rkfhAHua/f6
v373Ax9f88//+o+nuH3HChgXPwoE//hbfwgETf03Vi2ZDGYZnZhpif8y9Vryb0gkdKolVTFVQ78K
JP4hEsTUayqyakr8H9kwFF4GOdZd9F//ocq/qTh9MdVj1RdNi1f4f/7zffrf4Wf5h3Ch/eX7nwR0
P8sYUGcgONQUUVYJIpIlxIo/yxhkSYzSXov0ncWhZ20E3XRSu1tNKhrG5By98UFER61IiIVdlA2Z
dpNTkBobG4qIWXU8/HD5/o2u4hc93+8vB3uzaCGrE01d4n3/qKrAmiFXEGm0naLJdOoBy+H0eR9m
g5jF4pXg8crRzBxD3VCdrplzv8thf7o8P16Onx3Of/x4VefqAuDGS/2LlsRK9KVl7K/umim4lObQ
32kTerauLXajCOxv1LvcHapu32pD/PtT9t/+bOl6qX+XOG4++FyvHwW3CvcKUVDICdVf3nsTjVHY
p5K6SwlSei2DOV3ps2Ln+IIQB8fyvZCEO3rWKc0GWHzJh55n27RM8l2CqJjaPIaBE4nRNfpgWf/N
B/OzmOf3FyfRZsBhLuIm/37xP3i/OU0Osyg06i4LWkb0bX3Rshp2YB1Ift7GkBXbKKSvRIdCKxhI
xjlzFI6P6SDfZaUwb+ir1CPzvb9+XVjY/3TReBokFBK6ZJKt9ctFwwnX5sYUo64cAnVFpiqVHOd1
twisLzFNQ6RTYLHkTHCTRR3dNhs0Ei1zbUtGW7xK122iymulpcjP6nk3Ywml5r+qUYwwOYnS1rIG
+op9c6eUjFBmvAMceGNGlvr0oUeNfu7LCx5JY22hfYiXGfBrHJYvhK08CIms3kJDveEhSw+WxEm0
S6SzLiY++GGamtZ87kMadIXanIOSQg3knrKJEuMi6PKTKBfW/q+vlnQVJf18i+kij5UumhJUUfXK
Cvjx8UqkiJN8SLQkHgDRDwM6UromdS6UWIZMGYrIBUWrE5fUqFDr3kmsrp3/3xciSaw85HdLPFC/
PGhhAqknmmd1p5nduEV8cshFqO5LP60qububl3SlVXO7UwN101EMdqYw3f/1xfjznaOLIBFUjYYf
D572i3g37lAP6WWv7qD0fwkywj3I8VM/s4VbN2qcEOlS/d3y9ufVlp+py5Jl8V+2hF/uVnGAutrJ
mbpTRPBSTQmrtJXvytC8KQOgfYklMrnWkqPc0fhKF+Mg0tdvakl5bBrtbx4d+c/rDcFGMlEhunKV
oV816j/eDGagSMMiSMquTLt9mY7EXVmg2zNMbklm3Yrm/K4ZQuxSvdKTI/TJX4bigFFr2bRLQdRV
VEkH9iw4XHCgqb3mzLP07Ja4KG1TUpIDHkuDjdmV+7xp8SSXLN4SbV0et/5vtIbyn1duHUy/KGOe
5Rfyr3d2IEsE33Fk3I3qXO6KpQpOTRNCWJmifDXRwq8Dy9xXAuLOWrsSUFutZ2Cnv2DWqG/bhfFE
haqi6lPiHYkIdpSRSrysomHTj8qOvDuIfkDbAjFi8pNLTIL7dMZrEqJ4M5QQJA0Me61qiW61wOn+
9b36c67fdfXlTamKpVrX29UQf3lc0szSpzytuG9SrV5PwlUTJfJyx6Ivd/Xw3IdT6f31j5Su9/+v
a4WuK6ZGBiJ0k1+fj6kyEWMZtbKLNWu6zcNwvoHveUPYPSROrWFumpvRKsoUc/f9xaTfrn+k5NP9
zaYs/bz3sNGrKvmJhqVSoRh/flKrqCuzuq6EbRfQrIgl8U5FWLky9PAKYoynlTwmol+Zpo4cQlAO
ctuyE7ZoMUy57Veot9wwbMK7Qhqav9m0tZ9X1OtrM0yqMYq+60ek/CpypTmtyrpkWNua9C+gdIZH
FFripAO6aj20Znfok5z8DfMgGjKilq53yYsyT9d9JRwzBO014oZwUITdqKGM16d4rQ1gDyWr3qUB
2oOm5Dam9WusJxCK9O9pnoYtbiU8y3Yyaygt5mA3Sb22n+osPFhJLSH30Ov13DGlnNTgLDKM5Ixk
eaQhb7sG3VubgNKaIgRJ5rXuSyPcbXk6IbAsc1qPVkqgVyy7CQFnEpS2NbJP8QYmrFSWu7++z/gI
f77TNEpfjCoGDy4KXkX/k4K3MMFhTrmibsNQQhev6Q8irCq/jGn56UV+UqZgZNPuRTcBJUbLxwSS
pesJ9MEhYobfpLjAE/aRWpyQbZgksIplzfhRmdMNxDLaMUSkxN2YkB6nvkAq3yxJCo9lwusSVZOy
nRNd2cKBPk+jGK+yNKVfSE6IixHbSVMZmprZJtdM6COhgcysQlSO+jX7NUJFSZYegKrl2xMNCY9p
xLdTWr06pb+/n0jcdFuQM7bYKGwylYHTPVgaR1mqaCNkyMLHSil3cXRNh48baztO/5e981iuW8my
9rv0HBUwCTc9FsfQG1GcICRRhDeJBBLm6f8PrL/r1r1dURU97wmDoiTy8ADIzL33Wt+i5T7Ot/W4
HOJyqC423J1tb3v9geMBt9BYXHoJlHiZMXDjyX7weppF0slDVAbfyrbQpyWt18bgI+saDXyORV2p
3+ds2s9livLMli3AQNPeh9KYANh58V3h+h7OA3Hfs4bejQbKVwj66d4z2/HE+f8o8xSPiEI9QpSZ
vy8cZHU+OW1XDJrIa0NUjspF5SXqId7KBcGCDxF0R0AyoBuSDXNpv/kmhoIsoYnk6OkHQWzGU4kV
s87fHDcqFyvbWwO8PF9n01UJdJ/LaH5rqK1Pg+X+GOD671sFg34x0As2VtwcmQNQjvsmKqtKO2dm
sxJKd5uhH9O32eB4Nwo06jI1Gkg0w8g+9J/GZAlRMsQHMOD9ER61d56X+SWvs/E65Yi4XDM9mZX3
m0BJfVBpyFDZV/COGoZawhrynZ/2yb3W9BpJHY4cWo/vRT3fCRQsdJf0o0/wuxodDvL98OgVurjG
JW3SxI3rvSSikWN8+kyL2H9Acdxtg4SDR1V1x3Hy+lMWQH7M6pLhrUoeDR1/xqYd70e3ICsmLUO4
CT2HWRcla528Fi1eQkKHdpDX0lsi5NChLEHwNrbgGPL6RuYj6ie6Rejz0JEUsY+Et9Qod+e5eyYS
EEs+WeUGorRAzY9BlR5JHSVf00UCQVrkfmnNdudxW5+sED1V7xsEqrW3tlzqvVkSdse95jBtHjjP
WFwbJ0Q6l9p1wKNEGJRkDvD3O7yrTeYSMXdqyGeWjD/DDOZtszSIztiDw3Bp7seguWUlA9udLiE4
U8RcroLBGg4MS5X6afBovMTO97weH8Mis6/LyMnCoZI+tina0LHWNwYDq1ECUFZOckzEGN+Tf7jL
Z2WwfKCvDL3fWQ1m3qVBflBGiomlQMNeJctFlf7ItCAHK7jkycOcyx/Mg1TUqZDudQLDFvQ7C0Z4
q4WQ+DXwWw15Rw6SHf8QYTxfgPJ+GkKPN8lgmbu4cYKtyVXdAIvInhOXO6zOzjA+5lcRP3VouTfJ
MPgf/dVddPrYMP9A1sjBG+ZXd6fI6UR7AM3BJNPBk5/haBk3pat+qLKXd8LXm2pYfiZmPZ5rmux7
t3Aa7H7dW2aeylJCZWy698yK6XC76Z3XoOKAPccsMwiLmxil/jj6ztld+/vQ5BCYS5bARdIAgCl3
O4huPpoGV8usQrR8ZkqGjG/kV2C2rx3l8NEl4WFLShMhTWHzq+JIAXmYTATLau9h5quTDoormOL4
xk4RiNhL/WROacxUxTlpY3lP3dnZ5xKplWX45UlqsYulfkdBBLdZHUNyCcDOAAJkVIUra7C8axZY
YAvjmzyc1AO01joO7IPXM44QLhNoNTZq36meMrSxrefaj2g+MvSyMDfg8X7pRD5dDauIX5lO/07W
XmSwzAVlNK9E14PzULZIi4CLhK9DWDS3TsyKRBi4hr9rgpZ1jJrJI8L8rsRBF8tvEyc0OrxJF3XD
MF0rHT6ns8x43vTRmSxxZ6TefiLvdCcn8IVO7c7PyXUykexUAqG7DxQ3a8LiXScSR1WeHCxBTY31
96SUNE66t+5lLPnvYrjGSgU3xoIeNsCtt1aJNZXxwSYZHb15l7Y00rPm2A21D+lyKTkvPi2AzZnJ
CnkKWZ0eingD42raW1XgXuZiua9BT+8ZqulDVQFxN3P1THPMvyRV0OxlEb7Hldc8Es1ab/M+x2k4
MlOt7cn5poWlD20+wfFgcXKWgh3CVr/h1iS7enT0qY7jFFA5xMyRxuW+bo4jNcMuTVHMNV4xcZPY
D2RDzNDPqSVCG7ka7QZ373tobdq6fPaNqbw66krohRGFjRx2G9UmMyNjuJ52O92rIMaZQuue7rV7
bW3jJeyYdMaGBhWZJC6IVAwsoujY8zvf2JcDa4rXkQoFnO48mb5zZ48MdAqftA05hm/kUrwRvtBF
E6F6R3h23w3JMZuEKIKSCfXam8kKlJbM54qFeU+7FheBGNXHnNsJCySBBERKIQ6Z6BpJUX9WColD
YLjOVab+Q+/J6i5QDEfCvp2IFQiuWvfdA+dwbFIhqr8wRorQdumlVEKSBtoBTXLhmk8EmKXUL8x2
XXMBPtGkBuAIJ1WHwAFxlBbeaZwRkUxYzkRoECO/WOZhQmNmTCLf2P00XXXH7LFn5sN1HFB/Tkia
laB/Y2E3usrAOLvT1F4ybZfbbtHjmXXYrCmJQ3/2qcc1xDcCB0or9O66RkoCckmvzkXan2bPMi+2
Rj4+dB/Sdub3DPwlOb1HxibGzYS3TxT5cKtIYNvFVhFCdwlvc+nQ6CNW8zjVDiJiwlBQlDANWkY7
P/QTkM1iZllMdBFEMaynva6aEZM/AF4jFJDfHExMYJow4ZU0HDbMM9z910/MZTocWy9DZud+B+w7
XvM4NLd08sRusXP3mi56hdt09lWUZwdJxxYQsHtK0zrYx4NXrCFcw9HxVMjzjpinK40DO6O1H5fw
N5Cnz7TR40kF4l3X3kfbIqXkmd7Xcd7vrND8WRhxRkkCd3QEwY7UyIXTOXH/2+Gh7SC7E8t4NR19
W3sDhYrov9tGeOqni0GmLlEa7W/hWlDBbZ4um7FTPKEqmzL2DvGrQdFANmL1NpDeHukC6ZmJnFhZ
3uNUkQgSB663k3X67nmXtRk2pWCT/YZwEsv9nGrCAPDF/Az84ZuripNvkj7OSGzXNlXCIc49LCPJ
Cd2iniYeWWRENUK+9p1giOJYTdaCAobJoJz6Uxkm8aFDbAHartrGqXUjZAfVPlc3hh1MEY6peoAe
v47eUV53k/MarCpui8s29vO7O2FTy9LpFLhM1ku3n7nWzQ+zmn8MVh4Ns/XL3WtL1pvULJ/0PKIk
DnKxFa2Iqu7VGDISX4s1dN3FV9u5HzZzta0qIEjnllxg/CKv52I0AohTENpy07RIf9rJvZ012shR
9i0H4wLqU6uQQgP+jTukRuPciG2a1A/alGt+/MCcqd/HjmHtgpbQEsCwYPc2aYfoHKrSVU7BhMMC
S4Aak25Xl5LTr7cjcBqHH0nzuzFrCHoQPePkAwGFq+KpfxpIKdmU0tYnVFBZvDMF815l4dsVY3mf
9PorBC5i2Mq5V7fUHolLch32m6xX0WyT5wT/iqY4BPrWYCBeJWOMQhujDlnRaNfRR1qZhdYRpQMy
Fc6yJYKlMOtJer+TBUnqxfehMN+rFHsbvkYE5oOxDpbWHOojWbL9Vocs6FRqCNpUcAhVNuwCQSSz
zH5T8UYCGc++I6JkpzvxysZwz1n0QyweIb8IfPLEb3ecO8edMPyHgMj6o60EKB9XHupFPpa1Ve/h
Ack9/I0DJ/TN1BenqnGAVE+scr4ZAf78PbuUGE5THFk2v3XxiMqRVhKwbI6ViWEhyLefzJTVoqqG
EOt7cxGI6baVUzxRVUA7Uw3aTEDUvNBjnTgz65gXhUOLAkuhvGTTIlRi8KtjTAhK6v4eJ5c9g3yQ
g5rxRk/+cxbLeV/IlI0gj/dVlTrEbyVXk1njwemROOlA4wOr4oeqLW4z5BEth2DWj34Vp4W/0O4h
8u9o0zP2SQ7hhLrA+DVJD32I++SM+NPMMWbK7Hw4bdVcHEQOsiIasZOZ3iHZncKCGE+470uDZiBp
2H5Uj0XZGn469f1SpmRUh/BECn+fGB7CW+LWC9dpdpUGe940P0tjRuteJyoq7I8Cs92eEC6iTVBW
+obcW3Otrg3GubG3vmvb7bZeX14TDoLbotRR7TPhFG7rs9JO6bfliK7xNohddKwjooxSqAfb5nsa
MVoRXsjJjfktlOkhtNPxBkurt+gDMaV4pD347oH/UOtU7TwHLIFpIanwvrsdOj1I1NPdrKM4ty2c
llgfc42dZ/R5j7l1A95//J46AdNiUY4LmlVM2sU5oJpgqfiZvTf4czdimn6UGaJ/I+SkHNjsLoOD
XnRb94pzvluRiNeJAdiBT8WVPAoPS3VboGfHVmnvVeJd847dtUJpjILkm2N12IiOOumsyK6rje/p
H537Vtr9hxEWHE9wsLCF2aipdokSF+WQ3EaV4xybxbpmHYYSqGf9zhjItx7TyK+S19psP62E5ZkR
PYfckHLYDZD4lrcJu1wMsxqxi3dv9HN7WGN3FtrTADyWZGub4eOYtbtS1fpKC3R8SkJsGNQWJFmE
dImcRXZ7FwEBu0+R4xDCbm5ZzPUdzClxKN7peJrnLnb0gXEBMmoC4iNr9fUWejIPg1EbuxLeJdpJ
fz74Y2Yfp0b+dsPAApvQXMkbyM8gY4mTCP2DqTv0W2bj7QMx5bd8H5xH62cg1vPbNKnunTldTn98
XfVi3BjLqiv2moyKykRTYvNcfP3x6wNFCboFfxUFtg7urUGAl5yU7o+6lOlt62AV5TSrZ7JrxlO/
fq37+trcpx9pTdZNM3XJ7WgbUWIq8+wzyL/9+uD+4zPPwXMxJVhoyXx4cUYUHKWjo8GbaDqVagxP
aWJcmfnwR3+U16JFeo8Kuw0t5gQyI+QzK9v38tC0A74Vo6yiOtOoDnP0brUPz30winhrV+Y7VfG0
861lPIRtTeoRlxAed1a1H6rOAYoXeb9VsX4IRuD+1D9+g0StBazfhBZnmNS0LuRWcSE9BARGpGt1
YOw/b2lt33TuiAQVFnzJ8JCFExeh7xkfYPeui0iR/yT0x1y2mcIdnvI8uRvK1MT3iT7etO5oyiB+
WajmQoLcNhumtMUB1SaCPj0/K+n8mDN0IZQnn8OKbfKE5AFae4ypw+lfprvKpUuNsodr2nZ+d1Ji
SR8DS1+V7aT3A5pHK0tvRlEfp4yOqKM8fV1XynGeHXbuhGNtnTsXIxldGiLKPLkF1WCzEAVD0yO4
TO3QXwMlcR8N9R3MwOW2TcrmyCY1HTMSFiDFZ8ajO1iYckZ7RxFtn5Q5uZeyWj5mp0mfmF7c+Haf
XoNAYjduoZtMcxzewSypXdU9mIUfRh1Hi81SWf4TbPVuFyfI4I20qC7Kre5AkrFZJyXBMNVcRUWB
rtEc++no1yEnmpZHNJXJ2cys/DSR6WQYqO5VD3JeAxs6drZu7k1aZZvJb7Z+FaprTDiGb4/fQGPD
qPJM96rq+smT8s7N8uLadJhQpe/djG2GpMfmJdeJHRzZN8kyk/e1qZB9xoH14KaPRRnI/RhnyTet
qttgjQpr2kMfrJJbL/N3rXSdnWH3es/T8r0xyjKqyh5P9ESaiz+XZFP5L7nfs7yPEzZtftXCag7d
xD6QDFn3VOan0hbNxU2bX53s1J0ghSNadADqeWZ3td3pPdT+62Lb5Pt1VnXhVyero4IdMk3JuRmd
MwfV4tgFwqNCEd5lquuDT3FbiDC5Ged75PE4chPg/IwkIVq0CHkzZWE4nlmyldvNjy3H+z4ZcBck
zTe7IfUyQ3Ac+X5hXANZP4VzcUDXJVFAsf/3fVldm4r+SaIpfBDPfeva+Adio+zsNcHjDMLziuDi
xSpd60Jo9rLx6NGd28V4Mee0ebQc50S5jQJeEkz1VXySk5mceu3d0ClK7geVYPWsicUsIEMcK/qH
N62pTexVuXWjzLLZMI8N0deaWLq/vvj1b0aooDfBU71wehOeekiFmT6NY6EOGTNgGlYcAYhwWWOD
qv5BhwKjUI6HGMn6Cm1qBCT1eHL2lQeXNKxErTd6YhJALhvdkTo5+sGz1RrdWeS0MRZMrU3dIAum
/InG0XsGSR1GsqvwChOxiNJvObYjEt7AZgbOS2euZSMlbHPK5zK20fgWWMdU+oij4c2c3vIRra9T
oqtDTn9Vpqm5BjjW5nYytkYSpzukUhaYtb1JHYqdBWoMTyOvlkXOrnbIsTjZBVk05l6xrZr0I3Ma
NtV5Z4v6hnG+wFLj1odKhKQ43IUUZJtxmku8q0X6y/FSLIcIds85ttQh9cIoWG3owh48mEKvrcYe
9vWB5+hxEfkvYQSspMGErs2k1bKssONhpGf/9VlDtheGgxzQTk3fAGl00lxMiv5d6MRgcHxv5lzu
8q6UAS3NFATHGgC45TR2XiyVXbReh3LU/SOuo4HoPB1YsGO0xSxowrisAQw5Lf2TwLl6Nc+GydJs
JsZ0CFPrRKaNv+nDsjypjiLEnr2nefR+KRLBtrDM1/XVeh4BOBy11T6M3awxPENNn9zpLiM6JMoI
AInhSnQOyrFmwG+YgNfYKWek+h/yc+ooznhOj39l+I1xfjr5Ql2MBWYnVgoEmpV7Kgq60TJpPt2u
MC6s/hFdOBILBzFHRYAelZJv9hwCeYauxGYRvrSLnz0QW7MJ3OT3IKR3bmZe8eQa+V73rI6UZBsT
p8iN5aHmbKsQpo8BGq+t8RpWTexEVLEJ6kw0dlR/bRbP51ROgrKK9DSehr0JpIThCW4PswhfHW3Y
l7E0nqbOXDsgG9Al3h4DimLXwIY3jeGdWdCgCksIUtSSpzyjsW6VLFGamzufSSQaVkEkZphFmcVh
KCve7xwQ41hIRC20wWZ7PlN2girIl3vHOhnjBHBKpcfEE48tI62tu+AxMAaEJWi/XdSg+yHHhZ8L
Lz1WQOotFKxkjcA1mjEVWD7+kdhwvmeWTYpN2d30oqtO5YRPaGriY9qWR0YKwTbFFLS3p1+05gyq
NVp6HsdQ+ot+Qr0TLPLDpElUlT4tXLm2fKaq36ftD7+w09t0elhgGUZLYd5biBKPKGcUY+LgNquE
c2psbHKDsQJZxoGgnI4xNrbE1u6SPc0QEnIyeECL2Vy0R87eEGDL8WG81a33W4pqOPhh8eBQZ1P4
5JjUmm8eG8MhAUcALieK3fh7FZrgCq2Q5K4K6XJVLO6mYV3aLu2U7Sd/N83U1XwzhikFHj23bR50
EcekiP5UNMMjLxyjJkV1XXmPidDlrrfjD0Ayv93EKfc6DnA6lvKdRCkMCCGHa1IpuGN96iDix86m
bIldp8ubWtWTaQc4Eb34+1h5yy7XeP2mji7BqNA1FCz7x65mTtNXflSazj6sndc4Sb6HHamirQOg
qvaCBGt/ZqEcz1gVqFbTrGFPjBmmOvEa+rDmO04lOBQ67Mqxb/05f+3TlW9RdI95N/xapp5b8XPM
OC1Ixk52NraXuG7x6CyHIKcpkmH5NN+WLqOFn2FyLwsi7dpgRjEKvgIw+s5PKqJujb03jb/Cdm1x
MJEGDkEMayerI/wOjukZuAfzyESYHa+cEGdZ89WiRXFARvYCnajcjap8db2u3WWcrACXcGgOW/wF
WUVuVVF6D4sh3mdTrzlBK5cFO+/skQgU2g5WQqXG3RwLFgtnvb2NTzefzV3XyXLvzcI90pym5WFd
pIidI8NX1vhZfiAR4/EI1IcZKzJR+2nc9DmBsfZgEZJJE2ikHg99DuCLppEBK06Oy4tRAedYgiOJ
In1EUhTJlK2W+1bM0z269nw9SNL86tgeyMGJ6WoziJs6JGBW/jRRwl9wNTto53YzR++zE+acST28
lChr8h3LKmAHT4qzm5GzJOTynRDr/iXPUvfOS/XdoMPkwVZxFLpj8UzCEIPVLiYLeSxZE2KjzY+2
wTx5NDnEV2LG2crZzvaT5jBUJ4SWLSEpxzp0X+og+OGVDcCR2Y9k0ft3bYNWmj49eR5dfjBLCouK
LKLQUuVdtuhLNTjTU8XIcFPW/fOSGPElFXVwFUPK+UrsRieMjySrkVbkc1BqSdyi5bTiSnF2D1W7
BqZJTKoe4/wZRwpzA+6/wXopYyKslMAeUID41yKBEZT9Hgzyiiia65uqmW7dIRiPs+2sWRzVr3rR
lBg5lCvHCH4g2cJx0jrmq52gbwdUBaO7UFGLeWooAsnAfbqvOXCd05rOiwi/NeuwI7aTd2dqwPBh
T2a4lkScSn/ZDb8NVim9DaqKkdGyqGOf+/UeOCxmdc+6N5PWPNY+ieCcAPsoa1c76r5Mi+xQh6JG
uYAhntTzbUirCZpfYzIKZkqk+UHPblJ/NP7wS0ioQH1s3biNF1ydTEcFapJTF7TttiHsukwb52hb
JcgRlx2aGRLGsrT1OU20SVTz3zF8BnjChsTZjmag6FkNGGel85N5dI8XVT4ErMVHJyihlXiyJXe9
Q39Y42kiUPO2KsGqFOTHkIxbbzK3ZcI1iQf8NUfPoRKtJI5t3Bduxuo2CA4/c1xx2hLS3iehJFtu
to5DFj4OnWueCY0CgDgFHrQxHAayuqndkezeuTij1Un22vCrTUPka1EyD7fSakUIsOnG6exjyrS/
x5orlyKOKDE1oDMoTiYr5zbIGIrS0C3cHiu85m4ns0dMHV1IztB0BOGmqCiWRnp29vjNTCKKN/kk
09cWH3NvchRpmNxsTXSpe71g+JC+ntlqPHCTNXF6NmknWw2SjWG7117CNL8Ufn+qdffW+VV9JF0X
Y4E5knwW559zhmW3HZ2fk1uY0RAsZ1HOVOgSQlGv5qNMcI12q+sumGAZ+FmanAyjMJ5ieQwKd9dl
PhND3F53ng+wpv6NYWqbTK24Nv1E5otv47c20H96rh21zaHmKt0ZYE8tp2PzRj2zFWkXGYOfMT0b
abaOwAmYrPVKYXTzWu7QtOdYqLJ8Yxo9+goLrZmkvFZeHDlNMJwIlaafRlmU2IzEDXRKW3rjFAh+
CiaTuNIu8cXeJujjHNAwvkdE9WyiSiPl0r4tRwEptOcEl9sS9qq09t6bPVUYIzmrXAXzdWPKv1Nl
kygLo+kQd+6nDKAF5AGSQSuLqqxKmIBk67ahUFKH45kN9FZjSBOUpXeugq1pWOpqd4DXSi9BQju0
V+11N1rG/cEhylHopryVC3F/aiGGEg0cc0O05BgtJ73z9IR/ndAyNq/Z2sVavmDvY600ypfWHNpD
Go/0y011WbB97hp0GTtXu8vtwDuHnqY/C39lvikNgDQk2S2eiUeus+GELiZKMC46oYQ5Ig1rS0Oi
Y/RA7QomGR6MyOAAkOB3XlXzZFgyQZkxn+VW1exnghfvR9fk0BmrYB8M8opqAUimWO4Nj2QfhyoM
t2qLsMFfg7aVqG671pqPOLtavKi4wXBHU4I6QXwu9Cu5zMq073B/4m6OsYf4EwqSFOffMEjnYAva
7jNhiPtWMzMJKv2YIBV8qkL7UnS8b9LK43MM86idBuiS+lvG24fTyl027dLtoAOSzhy+uEv+0xrS
iHPhwNab//OHr6/pP//F19eM0pTsCBhWA7Mw9jiCvn1hrL9So3J/pcp/ffr1xa8P0g+wICpv3A4d
7L0GiSZ8wO6c23l3NharL9kx+PMfX/SJKjpL9q6Skzaffv1LFXOfpT1D9sr3qb9HVguMy93M9J7/
XdXLJW7YJguz4TV8/eT06+V8fWpWdXXCe8AGsgYi/OPD3/Os/vgzftBhn3n5LyNP/39S1eKaj2Qp
yoNwG/do2Or49Xd//ANTxh5laxts1Rp08fVqseeRI/b16deHdP1l/QFwgsxI2fyHtaZa3/aRx7+s
ijnyF7DjjFWfZOEQALz+KSzQ7q0JO19/9/WlMYDvoRLxJEgEZAVNoCkVRXPK6LD2NOEXmCYAIiMd
M2aVVfLDW1wCP/lmX0lfLVlUR6t+VoIYbnvicGyESB6+VHb/Z+F5nluMOD8+KpbCTPVd9qv/kxnH
NW3khv9ge/4PC8/r765q6n/1f/6b8G39DZ2NE3qOiVI6RCj9X/+gfDt/E47wTd8TFnpu1+Mn/beB
x/0bQm9hIS/3Tcda0eB/+Hd8Qvnw7bgucDxX+P8b/86fNdyuDfcaMTmTIkc4PjLZvwjK6a3i2kTl
FyVe+CsYVijvw2KNEwM3RHD/9Mb8C3POajr6J0UwKFfPcvhN4WA7zN4d8y+CcRx/0nYgBUZzZxUH
Oxhs6mlEiJZ0sj33bWd+sLKehmIvzfkmrIM3pIWnsjJZg3T1XvnVuSkbsAAjhcSIgK2Y5gRZBjO3
oM5essB8JlQcSKmH6Lh0mUMjxqDtg1FXFIg1Jja73M2u6OWjkRV5b2g6jtro7v/9L+r/WW7991+U
Pmtghlwpn8v7Z2V8SkDy5BRBGM0w/ac+IAs7D4gRZbiMIW9bWGW5dTP7lzDLT4Lnonbq7s0Mb3lP
WbfPWjBBcRWlZvWJ1vRaluglgoLsK69z91AhKs6JnNBtzlF2Q0ezq6xvBYf7s31EciVONi4Q7VHF
LYkAzt47N35S3JQ5pw6KVGt1KhoMWVBj5K/ZGp1ULilVMbMOqlaGlVTE6a7srGVj+CGvVPCye83O
PKIsJwsajzzn5LdZemqTJjJKA+ulzmbkFXVaQTYiXzdYmdGOQ3y0n31a+RzV7QgehwsAd6PY2Rtr
Xn7LEvmbmXx6BT2Gpcie2oG+3cjexq+Fe0sU3yF8gLMI9Q8tgfkx8Bt3/+Fa/dnG8fdrhZMlhKhv
ujyhf7kpmd21iDYWyNCpwexIxs+5U7yHPdKGmgN9XQCR6eph2CYid3ea83zRdCOSOjdSBqfEeKBJ
QpZUUiDTw0ltRp3v7bFTwjShHm/TmrO2DN6wxJYrzxSFrJ43eYqqO/aSY9d2E5KQPjkE84P1TSOH
3NlJRmkcqi0a1GQjfY7secN9L7GMdiMnyUWEP0uO12enk29lWl8FKT0bIyNHl17AhibrpbLbVzJs
77FSFzt/KjbFrK+ZVbwr3J6xmtUBCxO6k9n2dpQvt3ls3A02EkIffEp1dkwQMv1q1+cfTHDVs09R
I11Lg/DBtEaQlDPK1TTPEaLT+xXgVFXxGXSgsqT7WIXcMf/hOv2LtSPwvRCbCZJ576/OOja3YZhh
akQZcYW7zoQxECTujM6tYa9+6kXx9u9/oPWvHmLMag63iBswj/zLjeEizYWhw090JueCvvmeFm+1
JZEBOkANiSGrbx0DkGcWDG/gHlZsMFfYb+xiP9TBqcuST1qpCYnVevj+71/bv7pnMTRg7WQxtUOH
feOfnTe2xXynMsow8u1rqBokOSkvjZ1M0ZOhdTo0IItrrH7/6x8rsDw5LpaFwHb+aroKO2wz5WgE
UeWWn5MbPJvtagBo8k8lh3ifTMWxUMHzv/+hlrmaU/4wknw9oS4WN7bJdZv6H3tUnlh2OPLgwq20
9DZL7pKRo2I6wv1hREKsNF4noYHHC5j+/jMxN+CBJpuK0jc/LSu8VHrRW7wxrP5pdePlWF5yFpnY
LOZjxrdBhwYeBYAH+eGUpqZfbtvSK0har+7R+6z01+xb3RkPtfDOteatnv3Vmog2RfJz9+gYkKgJ
75C3Y8+9eU+Cy8jkVKGVLqtT6LEBJM6lZq69ad6TmdmnXyf4mFLmCBzkNpJOwsYLul+9+QKLaSQi
fWRWIaGExhPhQNJ/x3yAAI1XNoJr2BUSDXGMy3yLQe2Tgc3FisEP51mv6edM+6CAC9FuBg9S0rwu
POW0XEXCZmAKmv4zlw3rv0FzEgoZrSyE+M+Obl4Qx/Jv2VrhE82P/pq3KA1tbugfPGPh4IWFvLmu
dN68eYEevu4OM9DZUcoawd0BTnQREUrD8ABs7SQSWp1wvv7DHWGLv7hmBM8l/jduRHsN7cCC/OcH
AKV0OaRLN0VJiN9/dA459v9h5QAYKxFAhw/BqspNQQU4KzMgZR65rBSBkqHbPDEMohG0UgZSeEab
OFjzZCEQlCuLoAJK0K50AhdMwbjyCoyVXIAS+GXIMSGAcJLb8jCsjIN+yOtdKnS4qSVgFMP9lfml
pHO9oGau7K0bIDRjPsroxndR3fhb5SwQZ1e2QgpkoQe24K/UBeGGPxvzhIf3MWxGeciY0ACK7Y92
IbqbZhEfhaEgLsYz3GpwoaxZ+1W+AwMkA/rgmOkVwdpjQAmPBagDD9YU7qYFFRGuzAgbeIS7UiRK
9MgoNwFLrISJZeCIRSfp1C9MRwdrPtDDWClUxjcPpeCEAPIYVM6LWprvcYPSswNm0a1Uiwq8Rb5y
LmSyJcgZdywAjKBEJeopg5J/OE0rI0P3/gM/V21jpuLJ0J36lach0/HJydtoZSsHZpXtvGK86TD8
7bCdbv2St0q89iOS8Enqxxo0FVro5lh1LXEOMLmslvAYUnOqUwwpLeVgvfVd5FEePD5YIu22XNkg
E5CQaaWF+GBDeK+QoTQg2wlCBj2yYN5zwhMAoqgFOjKt9BF35ZDYAEk4mgFfBFGS9zODFwl7UaB/
J4IUWpiF9hhdwHlIPH2nVJsd9Mo9AXu9k7nTnCafKT75mBhpVk5KuRJTxpWd4qwUlWJF1ieFfelq
l7Houjk7tCKClb4SiDbdFVb1NsMo/uqNLUn5lLvykuXtKfdgbshiZqqYpVE1kGkB5qUH9zL67jFd
+S8zIBjTpzucI4fktoukCSwxDuDo2HP4ECYkOFaGfkqUpJdgdS8Y8IqNtpyHdPQRiSt6PcpeftTk
8hZ8G7YS79jG4tWV7q33/9g7r+3WkSzbfhFqBAL+ld6JEiVKx7xgHAvvAy6+vieYXV1ZWX2rxn3v
F6Yk6ihJEEDE3nutuUSTbTsTBRVisH0pWF0aXBabTEZyL+Jx7TtQlqrkvcwm2uskxYyVoM2V1+8T
HrWNDnKEYlOFIX3pfy58HTtjLUUWARF4oe/EKHkinFN+CepnnOOYfp/3XCX1WYPumbGZIGP5RpP5
xqaVJiaTZEKb2T1NxcKkGxCbla+R4PMnWlicnRYskieOcmCHujB9KqcuUJEab1bInVmX3GJthp4d
4i5AJLd0oRB16O3osPTrfiEU2aCKdNvFQDm5qhVC0jlLGD6tpi8Wl81qAhpfh4gqaeUT1ZFyiy72
TVN9aa1FEQ1Eb+UW0JursCZTI4cGqk5h3P9suNsc25HrGAPCvnPCK/7EtxIK0203BgwmFjSTD6OJ
icTORQdce/FHVgy/mgXmNKAa58527aZz7zZfVNPfA9hPmQ0zRJ8gdjGPCUixy2ZCTVTLyFh746fc
cTY9JKmGBp4DWYqpkuYgeO0qXbBTMzPIGg4VJi+YtZCp6MdHSJSmt3yBVhU4Wl2rIPajGoYdBK9d
ifrhWWFg2CCApdWcAcfPJpOGCnojARvLy/PLUIb30Sig+1T6OnRQomqZY7zh6MT2B4ZZ0JEt8zDD
JamOre0n4Akgm1OR3WojACFaAeoOzOZGmpyxq6gOspQkggmKQj+vQ+rGFc06dxUv8K/cpmXO33z3
x66j+hheG+YNKbI07oaokBpbvXvQxAxVP2cWKqfSHzbpiNBT+f626axm3WnvHQlIedQlBGoGjtwj
NdNrIi6yfUdT1ldxvsWTDr4cwlmY3HH1KFS+3DRj61ZGkF111DPg2qsFkWbG6d1ruJMyhD1lgXK5
KYSKjnEwb1WG6HRoSIfwbI+2rAXg12/JDx7f6wCCT/eAtOn+1JvHZKxYbmdwTgvOLQvm70bylau8
24YL8I2wsI++C26TyVodBdk7tji6tATeKAEP+CYWdJzbFftsgclZC1YuXgBzSBt2ohAX4VP5sY9E
Q9KDqdXW5xo6HbIjUBooG6HW5Qu+zoFjB3byhwXbJo9+MBCeVsUCvGM39a5qQK0qr4HhQcWT0PEE
atWwYCC7YPPm0PjIXA092qw21PrM4qqFsifsz0M73wtuL6sZDl+KQ2GlIPMFQ7DJRsrILId04P1O
U3SbYCx5oVD9xgXv5y0iehxrlRV/DqPPnTznCwxQLFjA1Ar25gIKVBADH/92nBPIRSxvHVTBecEL
MgeDdG86M7KUtV4QhIzIP8ULlJAA+3Q1LKDCdkEWorp8XyxhmNgBaaOw2Ew8XwruuSr77QwuGOk8
Gw/mbH6qdBxtGshSsrHNrbBhM3OPoxchWj5gRGgwFaflf0ZGLJcavMW4VswhoRLOTfROp9ubLLiM
6fhFLaTG0PssI9P5bLS3NBGvxaghOnpEIREowiQazdOqbAvYUiAgTdbccWFCwm2ats7CiTQARsYp
Xdd+/lYCkhwXoqS3sCUNIJP4mi4qDk8Dzp2gBPxNxsn7PJv2EUDkdh7rYTUtzEpzoVeyDOSb3rNf
svosVXm0yTc8GVSuKLFD1xH7RxQyBWC7VIHtydEOprWKaZRynRvbVTy5dJrh4s+kG2mDvs4EsFXg
jznydvvTtERKP776xwNyif5UpASbiR5F5B95yD4jKyLS9wBH6pOVi/rELNbdKV1d5ynTqD+Uxkab
pOsAS+hyLPuTr6S37/NpD8n1gGX+HPmFD6dLXWNzyeFsyo/WL5gNtqRLJqFk5RhhmcZe3MB6YoZm
yacaWRY2OoxJEnyWkk+pxPWSFe+c4iy7Nqw4FcFE6yN2I85Arp1RZBsh1VljA206JiGRkf0i0uNl
1EwtWXN+OWb+5MW3OqH20HP0EoYTuWv+xEw7fhmr7r3sMhrICXPd6lc7TudELmFA8pvfu1+RKy/l
5wDIHsrZL5lHL1KBY5RjQfnjwY9H9Mku42noXdb1Holw/os91BkdC9sUO96kQrP00QzzBbOL2Y/X
xgzMHccN/pakcLZ1UHyl7ptPjkANNVp9uR2I9VxGrIhqANhRf5c2Vrx8ONX1/pHP/YjgduVEqFFf
fTyCfv+ISuaDBpKHLYxL1EiqZNPNzEgeDyWKHFSP2ZV9d7gLl0GB7rmN5aOzp0nTnFq0O3qdFEiE
m7a6p5n60Sn2Ko9P9/HV41xJtGNukjlkn21FfbzHb1We4iXP+vGVb/cAuxu32MYE6nVtcHdl62+c
Qn9HB2iiqI2PSSu+RCndn3EoP0I/XAbxyAPS7Hc6hHcKpgOiRZtcUuciVfQeWH2yn92A1wuWI1nc
UKUAMmT20cmf6e9EaqRwHVSPYhpHecEmLmH+t27Yuq1tC2ImyAvGY/qnTebKo4epUt+HLLsme9FY
+5VJwZbgp2n7z1RtbI9gi21d/eSijUh5gqCmCboQ5Qkig1Wr0t+DTUPOcYxf0zKNBf9BD4/sIKee
IB1rcL02W8yTR3nZekS8TPMst437O1uW9aX19ygSwzrF2g392S7AgFb4NR4lt4blw4zQnVfFoI41
AYpgAvhRElrvpjlvAx+71NLCe7S5jCK4NyL/2mjNvjZDKSXy9EcXZr/tCeEqA2N34v2l7TUWYPJh
Jk9owEWMOUW8ptKnxzbyS978bAxQxIOK1RXhXrnuuR9uSSsz6sRkNhaRf0XcG15HvTHdIN64csmN
wXI0s4VLk/qbr8I3py0P6Wx7KGCyg5f33woXmCpWtWNOi/wikwsx6AylQgIP/BLFoivHA0ltrvrW
VVRQyxkz6Rhb1NLHdDXs/3g3mHQPWlXUW8eZNlhek3UkfIc2Au1oP+TTT0uRHyeHa7xf2oojCiXe
1nRTXvszdOkIlON8rhHxr8KBRoWbdp9Cv957iGnWjqg+zF6jkWxCehjZeG5tSfKcYtUeW3jiFpsm
eu7lpmg9WOIGL8o11AsJ9VV3xkMs8Y7y8cTcaZI4URATwcjzQTBpLz+kYClL6QyOTvWcBgDsM6HH
jRGOKB4R2xANz+WRWZh8/JtwaJwkDbtpSE+vRoL8ZgroSiiOipfSxcjd5EvSJ4CW6fU+zrpsireF
KQaMZ+xOxonIHVP81pD87Xj4oxHC1A9JthWBLqfjyPyB1xr69zyFzZouz1G1NZxQuLvk4wOw4qWk
XjoxXuHc2tb+kdf0hoIQ76oQvxJDXEv7LcZWuJrjYPc4pEnaINJI1kujco64Rp0yMR9/rYI8b6En
W+zTF69Y+rgGhiqGtgRdDmo7quwNN9w1rejODxW1XJHY8NNFLje51gqKqvkEM+FQ0mxAt2mhoOGE
x4K0qNyX5nZJM47ONvYC/EdgpTi8boFUJevlodAF+4UxRbNHY7iq7eTADFXRdAI/G6Go7NXYIIlM
v0Y2XRjTuAyAFVdtWhF4b7+GfpPtaN+zHMfeucEdty0NwO2I1SCskJbX2aU6BOFb3CGeiEPkw8ss
jPIL9kuxIQQq2+UjlYIOpiO+j2NrOJ8jRg9UBfW2KcOTirLvYwQRIusb0KS+/l2Id7WcwA7eR6aN
2deEDDH0TZTH0O5QRRQvZituY+3tC4vunEhpK2nE6PSFaFlw4tG/wEFDfNMyk8mN9DftFT7m0b8n
OeoF7dw6iAVbNlBdjjzRI69B4nghJZJzDDjnuIGysMM6PXPpgkQXfXPrOptKoMp+C82dFtClxa1y
JZJCogxw6IaZ8iylbWxo2BMBt5cyCcjyyDeFQNY6GvVxBrOwwqGec5PpfoQhvH26uGF2Uc38Gg/R
J4Gocj25ErEcItRgWJz2DbvgaPCPbujEG/hfxOVk3a+mBnQwJ/HZMYn4qpnxHVKbBik6sgNmbu4r
KKDpPzBqgwZCVBlsuu2YvGbu9K1thhNL7Ca05yMF/yUYAVUKOoYr4bFLnChzOhKt91IZz1EALTU5
Vs2hFaghpwpr1LiP6ro6Min4lNjqJjoEkXSkTJlGK5rYyB8oOxgZx3weH1jw2YxFkdiMcPvNnEFH
Pr+72juYhfdtwFtGGHtCKohhE9pByoV1dE22hUma0IpyUBJS39Qy/VSjrFqjTPjqOaNBjEx2HKz8
khXmElxiQjzPiWYY3O4aBvLgKHlvCFTydXIVTX5lvg0JTSTbvEguOiBfMsRKELQiOjeVi6wh/6wi
isXEhxE1iHSb5pyPniBJSqDqNRPnsxnqaDd2zRVDb7OnZZueC50GGwOVgK2I6+RErc5ov4eTq26J
TT9zlfSHWRfzlvjGX6GWDaAFAPFb+szxKrQqfXo8RKLpwcT8z/ctDra8QbttdJV/Bq/V7i0jem15
BSezyOe1B7BxPUzGfIYIjz2JUDeL+xJBfII8iNiaEWm5rSDFiO+DOHzGt12tst4v6C5aJTx78Pyj
XzKr8xDYIr+LE0m67Cj27pgTK2NY4D4zRAXcGfkSmoo8Pb56PGQZlu6EtXv7ANc8HuC2gervMnZr
S8b4P57QcXKh5z9to5Q+YVsRtRtZb1FvJRcY/c3YkMJmZAS12rRFDmXIfJKWKaVxd+xZjhwQwfyP
KlZtwgRSFGb/8+AENThru59IO2jKs2G3/xc+/gcd9D+IEiQOOzre/29RwhI+fvrVdr/mP2sZ/vuf
/V2XYP0tEBJyElwwy1n4Sf/QJTikj/Nzn3Gk6S9P/F2VYP7Nchlo+3LJS4UqymD7v2UJlv+3gL8m
BM8I20S88P8jS1gQfn+Z+jCNFR4KBwZvPGn6f0GWSe4OhdU77aGbpvXDia/BaNLdIDYPSgVtgAiC
fNlip24KgoZaN1yokQXMX0KBs7C5R4F67aMG6pPCBVV2mBiSEWA9pu5uNfkdxVFepbtuqk08ndRS
xRSew0Rc22pydgyorVPouKiMsLY3gUuwG3aVoj0zcWOdLuyQhz7ZmGoodnYfFBtLspMMEmt+a76F
Zvq9ZTR262wGgjZBYmWhx8WL9YHzB0+OAZ8r74ZF9M1SkqeGQQPUIG0nr1/8UqmrP+R3vyZfxRm6
PbkW3THK6TQK8REgpNvGWZBAXph/czluhoigtB4uOLtgwFL2Sdk0zhjKdftoKp6HJAjvfWn/oE/5
tbGCal8Jf3hpUhIrG1VhegTzjP1Z9+hA6Q2gE5DUzk9IX1aVtNKntEXv3omWGMdu6URN5LHOaMaP
aCTvKdq+XWND73AshimIoTdBlBb7Nhrf577Fyjju2QOXeznyl2tm+Gxr2IIg0mRGV4nTYESfo5qG
8rK3xq0gKbrvVZOyUxmTSwGUA/XYykA5v3frFtoFu/cmMelhV1ptl5IMBh1tw5FE9JIpRWqy5TJa
GhgxfpshICMOmxShjAORU3lUYoOmX2onUGmFRRkxpweFqZBDuKysis2Dz+yhQvGtvKnYeTV/PA+z
c265XxRi4b1lratRVa8sWBw3oFHUkewTB5RbdiEIEF3+xehCCmGs7q78lGFOkPKzgtpwo5zuRan5
AHrFWtZ9qtCJ2Fr01Bvdfghj4kOJj7PidVooQTdTgB+j1x8lFg/2qPnWTz342LPXviknWY2QcUzt
uRcfDOM4YrazZ4nQ3qEha5kEgbDdPMls2hpk7u7ngcM7FO+IFF8RkTOznGsW6OwEzod4psFUW1zu
HFpOusS0LgPzz621YEow2PVoBmKNO59TrbXzPefwtJM5ut1wJZT2T6pIFYK15mgxEEinwN9HQaF3
hDsQH8qU1iOTRi6Fodfj4x4t43lOss+lfq5s3zvnDRpX6sGr5egJZhMGh4lKIwvYdjZjwjk/jN9d
93PNeOGtNz45JoH2fKioe3uDD9UlA6VN/Qud7Xyb6fhz36XGyRoBQ7VzRGAymRLbQlb7OJXVR+Nl
O9SnLl7SsTxMFR+B2yzkSbNl+WswioYCMbby2Wam7U1iMChwiu9djHSgquSeKSTdMZtJrIeA5CnP
M9Qt7mJoMOp9SDZeQK/LTLJsX8Fw2gekmY01J08BcWOY1oY0NbPS+mKETLMHAnxyayLSiob4VpHx
TZP4YJFV6/ryq6mocixuJLgN8HTpiLY5o7LohcCiHjpg2b35MCS9uQ0wCg054JG52vl8pMQ99L/c
CpI6TR5OFodfU3J0dpnhBvuQ8Ds9jXfsqAgZpoEiDbgbdnOchlPH9MYcyj0Bt7fJg1I1lWOwHor8
e4Lael3M6c8qIqDcjpp71tFDCB3KFi2Wur+lhONT6DdexxyyLSdjx1ZxMMz+YP+OfPJew5HP2Q/0
YZ4wv3lI+50kyC+zwpzCuINYDW+A7LZ45axab6FCWJu88j8Md+QU9U19y8otzcxfmcjeI03Ss2kM
R4t6DYlRBz/Fg+Zb/fKr8lCHpXOWAnxFnHw3poIRaZwfSD2SNMVN8g2q7HvbGdtkZAM5JBZDNAOn
2KI2cGouoFZmz5VqCCGMQ67TqaBn3/u7LJnOOeLzrbv8EsZvBkJleaC5Apa/AbKW0YhiqMRYbEzt
bXpgm19+lRazySjuLTosjY0RuLj7S5j1aM3E93IqlNXWAHrEWKFZqkxk+f1TZgZXv2AgQ2uM+NWq
Dml14HerkhEbVdUtXJDoV2rUB1Qy3FSTn1E8PEV1Q3lmCMzHZrXt/BkNs4FVc3QRCXWTvVeDDYQ+
oq6yjZJsySq6ZoJsYbd0HEgu/u/EYwLmVnLY69L90tXCvVD7y11esHmeML1fib/eW3YB/AlIBrva
3LyEiY7XvQV0pJCqeZE0Q7oyxz3f1rfMs+tnbzCSS5lH+7grLLJrOrUJtHebejEcR568+BFeELPN
btgYPdg8LX4zo9nbWFluOAKvgZWS0+gl2a5M/J+TYZ0iQ4ZPGPbp7vbyt164PGHBmyglLXCZNN1T
05FcxE78aCkuzxJ7KCdcYm0bvz931fRFANvcYTZbToNDQX9hPRHAVgxltraXdavH+xWk3RUDEXni
Ib83N9zrvJNhQJ2KK/cauzjUrYl9fhh/Z7Wn6bP8uakYMBp+GxjCEDTDLM0HjLDSjFN3fTuZKIaS
10CrJTj3qZ+jds/WjDecxO9dg8mnUMRBR8IgMmG5GHVPEVUruWF8uJ2g7DHJj7Z1ZuuDPSDzSie9
pp32JZdRsHfz4OqFUNiD9kOiVluPAbAwVPLrquVWI/iznMVLCNx07RnpQogJf/hIcFYkpwNKGeFi
lWMHG8QGUM3xZA6YigPZPa/K8EFu9G9I2fe2m8s1nQ0UOIHzTUv/zjIE60xZEAz8kUSNfkKTYpNA
qrJhQL2C67Ghhw6AyfzNwmzTNLym/WzsWre/FulCZ6POT5RCKFi0XyxLcWJwt81CfFFmNu/QPOMI
nM3vDOY+YWCQF6zTj6XMikt1kiT7GjUbJGdk9DyxmntoLjeekPvScsOTybwcjy3V4xwQ4ZtAhU2/
dIlotmVK5qXq43tgd0tVGjOQnXljHFzAh3O10sDIN3ltf6oNTLKjgS4PYqhznPznViu0GqazA/xx
EsyvO25y7E2gz3Fj2MaB7Ld5fTTlxmV0solnAmw6jnPqEldT19AwjBmnjNOP01q4RCszpRiPLIrt
Co989dx2MgSzMgevs69++Np+c+tweDGddNd2qf9alG+VYtxMjkdHNmEynkfaaQF27oq1uWBtfC01
Y0YrUzAKRG7tI7VLBO3hIvGSl9puesIwNXfUaO3buPykSzBmS2fxQqTMzzQs9VtWXeapE2/9dEq7
aLg/HsY6fZ+nOb2OXjfc7al01yy4oFew2Wxd7Ka7SIdiX9OzWidY9xgkaiR7NbNY2KFORcp75Tom
98CEA9GU1jGslbOaK8Gi7YT3ZUZ8tcMQ5PgQN5CL4OiISHrHzKb36NNTRu2mvCNWMedJYcZzJyfY
muVsbLt+NF/ZK2NuL5y7cGbnHmYMqEuzu/3xIwa5nOSiBN5OJG2s7DuYC/ZkTTXgIy1JRBlxkcy4
xLdW3hN5Gavp3TS4fM08XBLseQuQYH84c0wqJtQIl74M7+JHVwdoOSdZPsFnCTG+uQnBx/LUOozc
PU0A8CnRIyC5iYTYUaAPjhymBOCRS0GKe6VxbjLEgKcW+68mxI+V7Q7veQ77s7LaGSO4uZukfZu9
7NnriY8xtHGqxzZdY5iKDnBwZ/hn6m6RmBs0XfcBG5i2d3Z0ywBibA8aQfd1SBZ38pHDLlmYF3AX
AXGArWOFHsfcZE5hfhqZXNrxSFNFUgGEffXZRY28NcAfMbCThwXOpud4HTHqSHtSyYJzSX9tYtU6
mkH5jq5joikI3r+OD07v7guXI2SyXTiUreyvFByMzlFemR6LHu2dDZ0QXGE0Dm0CN9O693Zx4ts7
OmiQhwbvXmBG3Y1J6621qpq9U0S7NgkguEjze86NAiqiMleFBXE1d+1zz3Wj4KYgUNZoiEh18zki
prNGMZZ+TnqCN9uqn5YbKzGUCc63ySUMcupBfo6QUMQ0/Ey/dq4ubuxFABhwMvtZe3Gsu+sE3dnz
UN6qZYcyGPUFA9C9BHb5DN5078TOdzbnamtrqHHu1CMDGL93WW3duN3QPHJxdMkRdYVPjGpgRu2F
amrCL8C+R1oHrOoK3TN1pZf9LuIRXZPLJeA22ZtI5V4689Fnb0I7nkFcZPm/HJdrQ1BNFt0kN12D
cdTwd0Yx3qZEFIdJcukyYocVPK/sz5FjP1lR0u0HYDxY40gTjma9adnFbUjteHNi87Nf84kUWeYC
zcMggG2SGUX0VOqJ7eKQv4XVcDHa8KsPCmOTTN0bqg+gAbP6GbHu6tEDRYTPcj148rPfUKBmNbE3
eqrnVRejF0wG7+tck/E7TLI/MifUW8eOXphg9JsgZ8bhq8wlN5wqQuS+uEg2Ery7CDOMTPsLlldI
2IYHQo9chMh6bdibsAyStjD67GURU9fYamWnh31DV2zVEHBXxz89j8Giykn+zn05HVLXhj3BK2Z2
xNIdZsiRClWK1RrhDtVOTHnLRHVLakiBYzR8zxbI0ZC1x0k7KJGyMSD1g4Ezxk92lMZ8H7Afh8LK
Nz55GIdwKDZjHWBdjOoLo1P1PFZoLKS1cpNYXlFwewd0gc9znhtAO9UTeUkDVobZw8spSfgNvOJ5
1O4z/IaEE6X6xvbgR+YRpGxSPwTuwUNkg+WoPguvuyOkIlsdQQkm7yWLNuvVOsILQvPc+HBK0AAj
FxexptwuEhmz4hcFy1yLcBj+9zbNcGjQFpcbI+pI36oBrphZ0W9dPKHrB98FQMsTCJ3s4rTfXa9X
Zzvun6zGP2GBYtsg3fhayp6Ri11ADU24P/SN9qHh99OG1tK49kK21D4UnUqyy8vUk2s0TzHr0ZEz
MuQMNZ9CwyMk1HSPvcnkqzRH2BFGzTXaB+80LZsNG6xfZVp/1wZOVG7A4JC4YqFQsQsbFVC/Ph3y
FUyBu9P88AG3Ms7qISw3DWliAMMg4TdHUZZ77M7tfkDm71LI2BqLQ6TFF1mawWkKyLt3Rkvuspil
HIoNK3NoI+i1u5dI9ua6afMvVbKvZ5epdltVOzfaSLAwfecebBR527z10ePGE3pTFHc9yIoVXla1
Ujb7bB21p2nY1g2ppURWoCMJ1+zCTEGbECoMiEpQUAp0KwVe3hF7GRC/WqYlOZCd+UROlHm7dvNE
GGT7wcr1e5h5C2iDb43l4lkTCBM6Lu4w6mlRjfSpJhjTXRVYWzVivDOE/Va0ZAaj4o/2WsAyltMn
wE5i30MlMk06aK0iLlHoX7YsCeJ0k68hG/DSKIM925FvgyKj17FY2G9pFX510EQj4mNcYeUUE07n
c9fQ9o+BOrxP+3ZruXW3FvF32yzMFXRHA58vWzQfKA3eymSnFVtDSr8tGMliN/TPjte/qbY6u/mU
Hky2Qhsmg4qpovOCjI2rHSfvOm5ws3TUMj1bA6asGUHnGYOyyvuqPdF+yZ5LWyChrUhPzl0SsLTx
I1a0pbroK76lCIU43zA725gj+dOBpV+8Eo/rgMhMD1SvrnQpDqIU6AKZqJgBx3K7ZIOVk2PvqCgJ
uddsmizMoSNgWIgk6XeN8RdUDK2YuUrPpauCddGjOqK/RhutDu+zo23mRMWnRxWXNtjHDesaspjt
dQR9wAGTanOcH6WE36Gyz9kxxs27asW0g20WbMdoOsX6NkraNkbVG+su97n3JauiwyURpQ1jFug8
exv5GW4TejspPFbdhIh4GmcXKi7fhl3h0kMTGu1wQaum8Mr6UIk8IZMnHrcdg0W0jO5w7JT9PV00
4QtTwY6pkUuJ6dwvjl7+ZqBTagEerYVHSVw28N2hEEVLqxL4LhA9EUUHXbhvgcoM5F2kRUZ5Yx4i
u7nPvhedCTt4CeeGZTtuUJHjwEDfHD7nFE5PQzWXe9DTP0bE36ewy9/sfs7PMk3h4Y4XYvvkpe2i
fq0ovNEucbqVcBEhc8fzK2zXTz2sDVrrM0Ec9blLJv9cuX28nqtm3PVmfwrDOgefwkzbrqe3RPsg
Wo0fHRykSzSXq9Y3nT/CC/7PVvmfJxgumv5/P8H4QjP8L/OL5R/9fX5h/s3Hr+XjgjE9LBR/nl8E
f/NcYQvMMbbJf+SfJhiLrxI7jwBvRzaa62Gd+buxUhCMFjAKMXEm/jEQ+UsQ2r8NRvsXi4JDLA4B
RZbDSGSJTPpni4I5uA2LEIl+s4jyZ3xd6jVkyJdSv499oTco7jEJBDaz1/C342ZcFzmhxH86aP+L
5dL86xQFPi9NNFNwmDgWmKf++VUwoDZo3JL8WeZBs6ud8G0Iiif0O+YVmSdN/KJ9amERce2AmAIQ
Eznq9zzVBLNgJ1/ZEuLWv39J8l98VQTPCRJ28L3akpS0vxyY1iBTqPZFeZRs+lB3GgplHyI96pqf
hUrFSz71h2bxPlhW9B1/bLXuHWA1SN5A7BmvYckurC9HmMqOE/IHkBB6gWaTIqSz9uiU7GurWfoq
Ktr6dehsKg8Uw9gdRmmG6BWn93//jhht/cWgRFrnYuJlVIWD0XxkjP0p26wxREdfvy2PItDibHkT
6QZxhZ0f+bCFkvYgwzbZd9kkD2Zt79lGrWhyQsCuL/5U3pPKk8+l9D+hOQy2/+G1car/s3mK18aJ
btkuFmTfW873P1vFVKfoxfoeFo9ofA1HmD8kZx0prOd9JAIE7wF369kiji3oyYh0JOPesTnmbjyt
rTDTzwUaA8Eq9x9e17+cmK7JRcirst0Aj91fc29Sxhy1ZN5zsBmuKUjzluBW7BggNGuzvCiUo3Os
sDoSwLyX0fhRFwB5QEBMK+1o86lgQv/vX5LzL646D6YD3XTU0nyWJPP886EiVlroCJHSwUrNcecw
ujm7C+BK+sZTAMz9LQ+fMtiiNxJ+03tputvZYRipbTfZFe0wgYuoJ3RHqHqrgQ7XMOX2abaiY1lp
8akd2b4NYfukLaD/OXnDGE7su0v7++IOLKW9vSvNtH0yp+f00VBaWku6lpqaimajD6VvCOfvVQ8L
yzeCaddV1YXB4rBq6+4IoPcLNAUJKWFRYdFCswwaWGOLbL5q52tbbvyZYSERKltBp3IzeSDtvUdP
bunOuUGb4NGgyTCW40BQ/X/y8WHa+pfrxHNMk59z3ZPHJJfp8Z/PRWpin7mg6g8Sr5UrC4iCUXhu
yiBgEbfaY0o4DqYyJpNTOF2JNdZnnZXlSxqXL0Y/YcNQBvAh04jOwdD+aguIsnPDAZr7n2Nc8d5n
NjVZqAEehd6PukmTfQJFgeMr6TkR38dIrv4SKmKfMLJiigP+UIXE84wSUbMv78EcD8cY18jVaHl4
fJUFUXRSbv8yBC7Y23h2t51hxs+PhzwOrpQmiG2Iktn2bnX2uvKVj7G/5pDyD51yzPtgl/MNlQeh
8P1LqQpzLzJt3vXiD+za+BnLEsQ/4hFBjFR6Ayfbxdu9dpim7WsIf2vTJJvAwQuxi6OqPMK9O9q2
zp5UUGdP0vk+95IEm8mMniT79p3WfX5k4r8RdKR3XNxozuDEHOK5sy8wGjfpBSanurg+r141efIE
YXFdyCi6Femn2ej6A0sbFg1Tz0TeDOYV04E05vmKAODFdxq4hDWaWXPJjhjjpqVJRxxtLiYyOKra
PLKw0w8RBda8JU3N9Hv2gXHSXfARkv+gZzIIbOJ58ppJQm8dmB59K4fh3ccQdXp8Rm4ew2SLLXPj
jR0wGUt8ceLAPNFQRFc3Os4lZW5tFcY1qlW59QjOurCqHoMGlqCn/DNtc+sSm1lyC40hudHkjFeV
aK5WS7/IMBrzjQFKyJ3ZL+nK2Duc4dHFqXmPWOjmK5P4cSPp9UN+ny/SSz0cR3ZzC9wkPdJ9ozaq
1ddEReWlm0hmnMkSXyONZ7PpTKfZ80cAyazyqREVW3+wQa5PeXqhf5VeullYh3CMrwT0hbvAVPE6
rkxus/70mo4lAQ2OmTxPIo526WAzoOsZ3JVumx+HmKKkKhPxEuJ3SZBgHZu5/za1zfzS04d8GVTx
EWTZWffKOmhzsl5t0RjPyYiWe/kOT++dvg0H2ayC55lNLaVYcCIH6NhHgff8eHCiNjkGWNKQsfMz
Mjv8P57IHN4H4Q3+9vGzOE1GjzvUtGemqi+PXwb8kDCRKO0t2kN/V3jIV+uoi27t8gBFlwYAkROk
sfAt+EGewAX7RN8BuQA/skUZRySYnDqLxg959DEyvSx6y8qYeV5mL9J223h9PIjUOcX5rK9i+Y3Y
F/0hR+G7suonr7Pcl8cD2vTyNNvzj8d3RevrK28PubLJvbkbyLBKYgIBlodpCL8Q3VfuoAmTgUDx
i7Q4FebKI0ekzZGW6KmpXwL8sStnCtRbVHpbFtj/Yu88liNnsiz9Km2zRxkcyh1jNpvQklokcwNj
MjOhtUM+/XyIv7qyq9qmxmY/G1hEkAyGAFzce8535otRFacEKvibiE2JaKHF37ikf5XhW1XABoxc
OR06N9GrElMw3d0K5YGPUbJrSQ0BhlziVKyrD0W/LvZ+DnEav+qJk9jERudk7ptw2dupMpdH4YDn
72pHbmpr/MrKzn9oUFBK6ztGTeIhVg6t3zdi48+O1+ELh0LlwbsuCsrxk6ZSFFCUTjo/I4gVvjDX
xdYA80/PITu6mVtv20G74KTdS9dQII4hLO1Th714KGeQjGT6rfx6mPbwbajqDyZFU2pFR7OKf1sM
bTu/GhxGLrax2cA40VjKW4s9TRN2VqBcc4JxH6Ms/67tLto5DL6HHMVx0XTqrjR0tMiOV63Z53uz
Ip7BmKzXRKMzZ+iqH7yooGg6vASj4bHr9UF6uHhXqIUVmyzzo22gwmsWxd1fn2ZGGQcjV7MSrmUf
aZENiBbf3a7TD6b2NsniuLmNT3Om7JeJc7lpvynTqB6Zqe5yex7ONMKLtVDjs/SGeI/NemQfsp8z
HmXp7gFKHavTMIzfHVDVOydu7zqS1tbdwCDhgful6EsnoaJi6CQznAxVH4SNr5En+Aiz+Rnyv3O5
pfEVxZK6RMitCX10a/qxgeZlHYm2WfuQKM98fw8qpKWjQ/kgq3lEpR2AhppS7AGRPLgZ/F1DAApn
KbwvgqLAIxxgS1c2GMhcIQ0lV3ZlRAVqKkP8IJKpYb2KpzKBRHHLgUx6Gz5VDNt6tMWZwI4By/jW
FsV8Jzqyz8rEeJ/p14MJ3uCMmQ4qztKDHVd3+IiLHRsyMhXrgnwzKG/zMO2iFFRVST9ajcGLaafr
MDXd5zScNqAITaxTwniDGU6Wz1ju/a6XiFbC+UHVj42bCHb4cYj4Zqz49xCVUWIwsfbzWY30MCIc
XEwEIrtHk+udsPlc4yRZQwwejumSz1upnBU4LXBYwqV/iZZ1ABGpo8aYBKzMPc1tL2mBwpD9MlWJ
S4cu1sHuqivRYeWd6f+KSB+iJmB/Y1ED19ZtfsVJSfynCZPO0P696Gx5cifsWDAL3aXcMxw6aY9P
sHDFuZAO07GiND9bqdybemwemqX0Q8qL80nfr/qIcXX26eCe7JYsoYHIuQ1wNmPtCXDRTkdZsAtO
jddUe9ViV1Mxmlqz9u7qHkF0jO1rEaIZLQKr1HsQSQ7IHObNIv2tfYrrWlKPl4srVcmgOd5evKHD
9rHq/GsZkodpAr9cubTZiOuIzaufpxSdcrGL/Je+h/sf531Mv3xk9lcOrRuapPWSwqNRpju8s8lo
9L1DqB965Dg/j9GoNj7VXyL0+nXd9fbBt+v7rOmbw9ju2haJddlX/aEffzVuUV6HUkFSCZrf1YwX
fwiZwBMX+y4CIpHUAOxCsiUzPGNgs1B7OHx5sOXxHnlhUeMclhL1HENhF4zvVl/Z62jiLaSoADcp
ioGjBXr39hw6CIp1UYh6zxl0tDvbXflzQsqfFWrUTRR7BwKjRuC/2E98fzdk3iUnTISKkHHJetK7
5salQQcondPE2mi9jhPvV4aR/AHnthVLebQ0cqcG8HvmTOrUVdCNaFol+5haBbpnlGU+ir4OIJFR
q21YNfWZOBOJHPil6VAghg3ysK58D+YB4DrABatDDRLPAHcHBIO8HHvFuNGAJFfJazeZvxs3RCeN
y/epobTbkT722ZOItp5FXu0E8YvryMAyl+i+OhNhYb9kLpeu7lKmJp3cea1kbWrnCYJ0/OK3u13X
jxdmFj7iXp0jzRxFKMz43OX5MTX8bQ/5+6qKaICI4gIYnbwAs1qCZ9FK82/EQz8gMex/2bLFTm5e
VUPeu+WATW3ywjtbdKmQT3bd1uwt1M+CC4RHYkjiZ2VRLKxnO0XaHVcNZxw/qW5/1VVnQp6IP8kl
Vu0lYrHpwmrTmeAGwJoPZ08ujqqIbZLTWNw1gp++sOgQDpW5i938e8OG7NyHcXi53bodJJqrzWDK
bu2GpYEB03SMs59ga7d653T7lRZd3FhrYz/O/m+pLYAG5kSsYWKfPMOz/joUGd9eDfOQMr2cV5Lt
14RQFVeuWWb3CNw/TKSMOywpYjTKR6d+GDOPMA6X2Qdj+BMuEhenPkVycFTV0+2xzgWdGUKM37eV
jWHBJDCRDmvzREwT7TBUNbd7gbDEyVPoEG53wwOoTL3jNC4Qw+Xx1lNuBZS4sR9Tz7IfMa+XEEka
6sfz1IGN0smxJlCDlqIY78gguFA6r59D/gfTxpMUCtz+VOcHx+HlNI2oL8pPX0UwyIvQ6qicgeaU
SRysGUbiSafCfIoIlqE2X+O88p1diWI9XqTrlKaGlbWo2RdZO/2eA9uN8qIYf9eu79JfMYx70fom
MZpo4oe5RA56uy8r5CiohmoYsx4Wy3Im2EophPII7YH6I/5De293qtnPNiVduizDqWdhh4pihs3O
oYS2Tg7QP+4THB5xvWE+s/icmTIn0hwFjHlPHCiF07+rXSL8uv4kuYjwidLonCH95Hnlb/iL5Cyj
sNmPeA2sxXRg4T4wFhtCthgSWDccUUAkW7RJEFlxLVi4FxpcDMFiZ4DcfTB9DA4E5V36xfKA6fPR
HJI7Hy9EgyfC09YLK7xDIjrkVbzUSTg892KkGHBUaGYBtVgsErwW9WK6oA36ThdnJWbTXif4Mgi9
pSpgH23WaH3gkThws3Dk/hfdhk+Jt2NQ/SuC2gWp+pGbsK09yN3r8CWqyHAnAaTcI9ljB6gwpA1E
6wk8JAleEhYn79Eyw2S4TJAYQlGrkaseLMIqwuxoNdFDWngBxNzF14t7Wyx9oGAxsGQ4WQwcLWhE
aEv3J7JUPsvuiXV+sMXHAwFsZFUjGimOCUKOtduPh95x0n2GbPCQeVxTtYjPsYm5yVTdL4Kgup3n
pp8YfrEUSkWOA9GnBcI0/IJ8v5l3pNRG44HsRWpKJ7kMl7dD7m68JvIOIvF/tTPvM+naPd2yo1Da
3DqO+7jEmMFOSCGRod01CmCQyjFRByLyS23D2AD5p2VsPBlLcl5Z9xIxVvZj9DsW8Ut5J1fAOtQb
3maSwDwFmr4lGA1qDq6phgZ1GaeIKpIIwQfbIYynvwGHr6qBAKzZYN42BAsBndaf6QeolPyhwrG0
Jiot3y0V5KKa9U8GjnuGoWhV2ZZ/r4zQRcci6wNWtt+DOzoEHLnWToy++xZ69p1fo22NtU8FlLiB
An4Y+6vIfvX86hvBotkppi1/IYCUsBR/SC5W3Z6RD0g0e8vqqyAEtCird76Sq5EFb5iU4Ew09Set
NFxhXj3vWxKo116fBYh8yNRxGUPYtKdnZL/gRVFPbydYZneAqza0Zps7TR7SrtXGW8/wU8Ts2pOp
V9uqYvpSQdUAJluw4U0A0xQKMr1JhHJ3hG0tmb1V9RhD7oDyAVAk9dDGSOzdlWcRbjABfAjyS59V
sDC6V1NoGAeDXdE2JP+ZlDA+RKs5O7VuzhVC5o2bNfVaoJQ8+q7+XlA4WqEdOJXWGO0Y9xi/XPPe
zoR8wEr/UBjeg0qOi8P2szIHYiAg8Z7JvJ8OiVl8r1lL7dMes+TsXefAitf0o9y9EhH46t5Hejsg
Fs9eQMzKgxETjUGVur4v6/hZAtc25kBd+NZoxLvUkwLTl/CcKCkn2PVkN3tnJ+XqP8qRqAHRS6Kg
lnkDBeQr2Aj7yELhUqYhdMSWV585yaPyCAQrk4J0oemNKO1hQ/7LsDIn8gdU1BCRHIMxEkP6KAyf
cWsMyxMOYJxr2K2tgUjtNgAPtNjlCSe578v2LjWA2YDNXccpuOlVbAYgxbP6gP/KWgfkqeK3PeKb
RIZXYiYNl5DsG3jQy2W5C+T8qlxVnZbS9Qw5hputiJG3t3TGY119V10GMcV8KQt/Z6SDA6ehVRid
8sw6RRV7ygqQeVb/UHP2g/6cwnodoGohbkydbvcLuFBjFEfHm/m8ssby1CyH293bwREzdKz/448D
9Hj/5bcH6be7aYielVUAlhjWde99yLTu1q2TWR5+W4fMhyI99HWOuG75BSpTp7nEXFu7mCP9hiSC
SNan26FPiKyafkbsweEtjizWiHfu4mNm5Cy97ruKbk0X94/4rS5gidQJMwxkrir/nPIxXBl2qzjt
O+M0W/dt7nfsNA21lSmqc+FFwy6kTf0U1EidZTDnOzGEj3LftEH+HMv+tTGVvUfZX5xM1yXAFIDm
2DTWecI5be9BPcvnrqGt4vfq3UQLRszLVL7MsiI4iBwgsIEGyauwANR0F00xWGYJIzotQRv5GXKI
PgNXHJnE5iI9GdqOSsYEU8UJDCraOsfFMpKbqoDcUFx1nkcGLihMJ7+cf/JlS4Zswz3SjVfkyEC/
iavpmzVo/26IZnufYcVho7hO4pnZuGlLdoCTs+mhHJDyRGWly8Ly3iU5UoGMPtf4NXzOZHyABdgv
coTR6KJxMNutpeb0G9HIDWkKFBuCuC02Lf2yS5rB9hOl8Vb5RORK1ghHCI39o2/489J+0F9jCnRv
JkJs1s7zkliz5xIoDgGpn29lEZwLEiA/u4DqnaNEfzfmUXbHFM1GCeldxWL8M6yo8XQxlIbR+ejD
6NELYvkLhdemJ3ERnYV3n5Gqdilo4K8aczrUTuv9yAtbsfVC6yVNCuk0wp/8kYZO31HkZUMtNyV6
nSPZAuhmckTBqPxmxNsMHRNqDOYWwluwZGxI/kz2Zj3uKXG0p7bAxaCjzruDV0iEXlYKHMqdcZEN
kVIEMzuAJbPfdt0e2FB6R8SpySqUxX0qevFCse2ElJgpPvens8sO7haV1eigww9frWVNO67LtbzT
li1gfszAy50OTdxUvETsEdZJxy44bCDIJKov9w55kV4wJSgiS+NxDK9T4kpMSFiPTMP7akgZP7rf
ixGXVBevxDgaq9g1rXNl47WVPvSSIcFx0FS9vA5NflXksl9EBq1OmuOZ7mR5ZMy89iLpHq3c+0zx
BUVOlm/KJR4iMUEuWBGTlBjVqva6p65lMm5x9COdmX9Cze8PCIBgq1BcJb49KnaeSQN3yWRIGiQ7
Enfk1VbYvBfwiGfAPRhSBJaI8z+iSLNEHxpxdytL+cC0aBt5T8L8rG0HdWJZMoVp9c2r0gpMT4RZ
E6QFVYxq11kW59jY0PUM5zcY98XBmoZnvq1pEXWyB0r7Gc1756ykmoD4yQ4kbGjOO8EJxhABQjbx
13NKdRgBULiK7Obdh7aDNq9f1ZMJFyTTF8qc7gUNuezy+1uoWTQTAVB4ob4aOSYmhymtGdpx704f
kz/c+YVvXkJAiC4f72mKi2/ZrAYiYDzyfxLvrpiG9xBhzQOG0YuMUIeRkAeKbaRlk07evV+RgZRa
HiEOYXsP3p9Ti46NM3Rogco6Ouu4e5o9DGbK/VljVS1cK9kMocFiOyEFmuTNZaeuqUwaivVxvu0G
W+49zw0346C/TGBi59lwsbD1Y3lA1tvoeA9IrLtGNdGPWUgljUDsoVbu3p4aDCBVFW1vlYM2J341
0DU6alhhjRyKY5/CB4sVspUp5eNwHIdwHCU/mteJQdkN9P1k9c1p6tPncLTiO2TpgNy12Hg1ub7j
5LvE8FUl4jaw9OwifcvyDgaYuGhi4xlR0BugJ+7nlu0/peLqndGeVbiZ7GY7Kb7r+TjF8amznfjO
M+g1s0hqoco2gUkEHyshSefpIWoZDu1GG6RPGjypFT4M7sLPaearcgJx6JBK7SC4xNuQrgShmnx+
LGy9c0T4wLkr/VeY8vW+tojhFU1hv0pnwrpW8EdoszdR0Pk9HZXEOo9B8gurt7cDN2SQIf+Esqb7
BiLkW6eZYSXhZHvQEwaVbEcgAp+jI1yWaU1aEQHAtMZEAtGjlH2FCtrs7+AXooZn4Zdo5zKHlTyC
jXtzRBJd3NZarGSWj44+sPFKtSEnoZE+koBgb2I1zivsigE8un1HumU/ykPM/v/caiA+rj9555I1
Y6ApHKW9BQcAp8nVhe94GiOqpm4pAGR4byap3aia7be/p2OXdYvSmqWFaGj4WqqlvmRx9lmqQgs6
DSS5Y3/YMjsYcHjClMJJIPY9U+/Jia35VDlpv3di0nRYblzs5RATXkbiQHcOBlaElanI+qYtdYo9
ms3wTF4GsJH7IMF3adRnKqn5ObQL0sMG43cWYIdsu6B6sdFH3xs4zFz1cdO2t/hgX2aK/npIP2Kz
11eZCYTKXXCQA4QFHHPBiU8Eiyb7RD1V7l1dz0vOmE43AYWzc545+TlCZbYumtBZ1wLr9migai/y
8Uo6xxI/ulixXA8dJ6TiX15SQ8OMXOfkIc89+votD0s6B4QWrD2Z4h7xmNgpt5JhDek4nE9xWlVb
QBQ0dAlXPPECx1PR0hVY+S2SdqJRD5mE0bK2jLA/JtSFmqEOmkPVtTUxEe64KtFSYN9hfpmtALWf
o6vhLnKV2MEFoCVR6FfLxsdTYJea6GjTYsoKe7iGSPl8huS0lffNEj6ol8Nt2Mm4gtGhwIQZ72la
slavtSru5NKmBqXWXglJs0I3OqiEER71ZUb/TKT30XJLxvjQAF2tCj14B3Tz9Eb9ftM3GY8FxdUr
+/ZC7uhesYw9N9gTtkQ2Z0co0OwUooguq2QH6tuvRZMxTTqmuTWcIGHmDslt1MgekWpe01Gf/LbI
z/6QRkcQI1gsAsxxti8gkTE277Ny/oykHbJDzv3nTsTXQgMzCuwZTungFVtzFg9dy8afhGNgnXyQ
6zaui73TlJgHoPQMwoJCiZi5Ktxi6ZrLN7/IcLlWJ2na4UujBQW7cTqHbmdtokQSRmSrrylymv0U
EDdrRNY5om/0gdgPTDaiw4Yl6Z2owuDqjCAoarffEhYPJIylnpCl+JFCPIU1RfeARWihqP7lndHQ
27So7Ox728J4VLf+S4IQ0oebNLB2vYwZ9YQeP4UQDVp7s7ynRL9NU6v6BDRD2lf35RJWeAj8dnqp
KE9TWniJK5usQE1x6XY+3M4MbJ57hyXHtkINvrFg/R0zIF5rTm7O+DZ9dZraXCvKGfu2cJpHGKQb
HD5YXm2cQTWlMvpQ3/tIAxpj3ljRjG8uYSJeaICT/oppctuzd9tR2WLbR7tz3cXtU5/mzhGIxBKD
A2ymx3T+Bmbql9EClEmyzNyzzrReUSv7m2Imse02COMHRmOPbXLvjvprQJZyzZuW0K4FJDgVdDab
xDL2nSHd69zKt6gs9Uth+s41sq23tH706P8/e6kbv/gNOfcRDBzssD4yAR/gljNUgBgRbzB9LQcw
ln+/hevo73eJh0NmFce4hlzNlBAn/tF2fAnXvsvq0+1QFMM7/j0weUgwHH8JSZQVnXtzQbX9dTOl
rX0cpivF5hLfBgcXYCpxYmy7brfMLmb2KDUFcC55EEXKLk7KpZhMuUQGKXGBy+0iBr4XNnbiIlHI
jkEM6KsYxN8PkKgkJJ/6LHRtHlu7+5nqvN4mM5HESC7m4kQCW3G63RIpucOG770nt5yRnqLZ6a+b
t8iRWwxKLRmNotaF5rNkjuC1JfpxOdzu/jm4ELm3RExSInHT8nR7gtsT/vVU/3isAUU8k/p1yNmA
zWuSvkGmjcPb7dfS22O3J0hvKSi3l/AvT5hWiLOgO7zV1EhPpTfwRfzJMimXB8PImKk1N2hnehud
dVYQbd+zyad3V55ut/7cDSKDhWqoWSvxG38ev338//LYn7t/fo9wHEJf/zxzFroZtYOiY2nPFxj9
+RZv9w2j4puI2/DEyU9cVxA7p8BpnFM2RJ691m6OIMNP98OgfEqHz7dfMJwfvtVWsHbHqj37N8Db
8rxyLjgjbv8CU0pBZxj02+0W1N52ayb6689Dt8fV8mu3W62v2v0ky+Ofp7s9/tdzliOFP6dCP5db
DMJU8DT+N+/vt253bz8g4RZYZto567h69ml+HnUVUcHtiSoniq45ZTXxZqyLAD/aAMGWcyy6nW5/
vtYs3fXLRXW7ksa4q0+3Q7/ccjzsSPUcR9sFHXSqq2I8WZTnKepx98/h9lgezewMARCAysP3Qogt
iWnLGyE1NT/dDkAECDhMmxG5iCpe/aRH6oReAJh0sbjMGizgwRbjgp02O+lV1WqKKff55rRVudxj
LUOxpV4M1TUr2s37JC9Gpmhvh8OCzJXoVRTFk51SgiU6bqKVv6J0bqzmUCA7IDBplNZZoXGPRSrI
QkNdQOvwNYut+9xK1M6a0p/KZ79DI/zVK/mHOYTzuuOaNoryXU32kQBrZ01wbrhvbfuKhYGtUo1Q
L0TsTRX0zardew356BI64S6al2JzHFyC1ItOkhe4gkg6tT+oxdErpzGKE/+ILp9vhidEk7HCijNt
dUD1H7s21U2gElmWI2pJvWPg2dfAwa1rd9dx6Q13GoiFl9yb0j87cLLXVOt6XdMjJdnCbbt3J2se
qJjt8Q8JMxR4QNVX5b5rpPXrUvvHNky/GK03NAF5P2G8TwwCJJN6+ppnuvcgSk6QUbZqghEXVu6r
NchPA/BmS5zmKDGFavossOyhg8JPXwVtOmPUp4MTWWwWmMbjJXXJ7Yp13KXkXwYA9KgBXcMg/l7H
NRisDtOfsMYj1sfHhM5Nn7O3DIKHWNFPRAa/jwrIJ7KCHOCT3OvAlub2hpaMtRsooDraGBc9CtSH
UmikDgoXv7cSNp9cy07sFJAfboRYpekrRLsqyuif++Kj9PZwQKOVnbPEr5pgBxvlMdZ3RTmRGEcs
uON3WHVZ12w0JAH2tFmrkg3LLxqB8KAdW+wDxDZYmmogAw5VScuKr35jP0/aIqveg+uBNuKJEtWV
996uqilGUYzfaCeBnYBlFYCzsY1VXkFAof1b6I2eqZMmLQ1uFvhHJ+TkEsI6BLNDD8OO9nNPDovX
mT/YQOATOFqi2XBuJxvWh5jMKHCN+Cuq90nbQMDK+EdcDRMWOnODQjLYYhyrecPiibxbKIDBBnJu
BX543Wg+466BgEbI8UQTJQ/2zegcnMVsai62U3MxoOrFimotplT8JtOWVTL+5sWy2izm1WSxsTqL
oXXE2ZovFlesQ6gBFifsfDPA4oSdF0vs7SFsGqtmscuai3HWHbHQtnhprcVUmy/2WrkYbZPFcjsv
5ttwseEaHW5Ee7Hm0ldE0Ilbd1xsu/5i4AX7xAW6mHqLxd7rLEbfgHfQLtZfZzEBR5iGysUWbEx4
KqnhzDt/MQ3Xi33Ypo1GZQJL8biYi3tcxkwU/cvtoMfTuBiRk/ISL8bkBIdyvViV8bAPL3KxLyf4
mI1k/pXFcYclfIgfYmIoV0O+s6vAYqxaEjTkvFwmRvwUEv4aOfalpDGrerc/17NLj0B3BmaYJ1vb
8mkUMdGwc/9gdtZzXTRfkZn7/GiiVj3Zxb3n6IaNuhiOSqTYq4IGsU0pxg0m9mqb+6SlOa19J9jZ
9YRKnRF+f7LeSXcJZUTqfmPMctEZLjJ5y6tEsfofmm3QjpwFwwtCD72yemKJhfJZOlUsCzPzWnvK
ubrW5FwLC7niiK5h5+Ej50pOcDuB26HsL4nNiMTFEc5j3S+5fV44EqbNeV0a7/bYe1dbw01Bd3WY
5zre5PkCFqBsumlivajV82iLPvzXlFnPKCuiZ015Pgp0/uoN52lufYyisPfc9D0X03AJ/Km6JgbG
60V1UzdUJWM4P+HcHHqPf//vhdvivwWEKFRX0sbZauGLtf7VajH3VuLH0q4OqVDpYehpeuscuDqa
wVeFaPF5zNsGT+u0cxdxx+jp+P/yEqz/5vYgloYB1RSuMGkE2ov0+b9YAPwg0l2CoP8AXx/gZ2fd
y5ARwCDVdcNE9pFZC+jbLKudX/bRHdDmtW9BmzWqssdqbuco48LovIhNzV5AbFLhC7nF85Htqnm3
qEBv1ah//8FZi+D6n5JVeNULssvz0OE7qN7/+VXjZsjspBz54ECTb8muV8ewD+6EPSN7LzNn7/aq
3Iy9AH86RXu2TenHbB+Ek/6Ih+kStI7/OW4roaIfnmW+lRRzKP64vxCouA7jF0tgqjEPbYljNSdn
9y/+29f4P8Nf5cNfL/Q/ii5/ICdYt//rfyw+nv/2+hfcmKd8j7dxE5z/l099ahM8M8IrGepIWTIc
vHuxbnkTZEqnCKqPqDKKNZKnfjdn8lvvxQwPzjXRvt6WVuls0fZfBvXDJb3hMHvqm79UQOqk+uDK
e0jGBWdclaDG8gircOLcORo+4u1L+P8WsJd/n6xn2d5yPv4bCxhV2Og/Np9pqT//2QZ2+8O/28B8
729YnEiAsfD7ui5ukn9g7ITp/O12buD7WfxPJhflf4Ls/L+ZWMB8fmxaJn1WvCD/aQNz/+bbwrQl
DgU6UIA5/59AdtL+Z78TiA7p2NKzLV6hi1ftX8OacA1Vrcc690La8bL9vR0yHdvzWtszfSOJjX/Z
IhvL1rdPLZbff+7fHtQmIoreKLy/NmVUqIuZzvepzx3E9rPPhitraNFyzpMiC3Fx3maIXsClLhug
BlDRbozI91o6frcDuylYALHds8sAJJGpgu5LSzvhtgu53Xet4GyPNYXUkPCA2h9W1Iyeit4K13OU
v4Fi+h5N9hPmNvNQ0OGqxHxKSzRHk3CPQX/PMmbcFMncsPuuXttwfsnNoQNQlh8N7L1+GpsrNjPV
LiE+biNDdPihox4HsJ0OGRkr5mWQmBVZTfBXNqT6dNsxcA5aiHwT4hBdl3ncU7+ov+yS7YDlyYfK
9r7VKn1qa7TlpibyAviL5dYV75BUYUVFWOaCvE8kSeDZg0tdtBjrY/831JV8iS0aweHygBI0JPXV
78hTy4cr/TaD/oD7XufTvZsWj8KOv7vMrGicc8pBclMQSHRAnuCZBtit7jtdfuBr8DQ2I9n2+ZjM
++UJddS+I1mmKAwqaSyilZvTQEippq3aBT+Ux5W/ly5VbNZvDnXLp9IoQXrj7MY5jVwES4MuvldM
pIDwwfikHvOwLWYKbs1HpdQL3tlnUTcPqpWv6Ibf8F7XiBsT6D3e1Wcr56cJqYv1o4XizWibVUoe
FCgGpIgNi+mQuHUNz7a0i5+KqnbZ0NSbg23mFUc9DF/D0H4pG3t5jn86TKkcFVuCUZHqugTixCxD
q51txiRuB/SopHdsTGdckRpDgatwg23p1L/pdvirySSrKeooAYePPva3TItfbsa3lVUveT9A+SjI
SY8i93ce4oRJ6CTpkBK51OPKG6p8NfOmDQL56DfzWcqOE6+J4BADBJaynHaNpe0d8XzsacAeDf6P
ygUA1AzNfVF8G0ybWnMV46zhfKCjWz6ToGjxUbH591c9UQJmH1zs0d8t51NlllihFZnbqJQys6U0
OGcPcXYsBoPiMSu33DsZ0ru3+qld2zPCSCcGsFCyLmzT6SfWizsEMqADdHLfKYz1OkUF3rn8pcgf
mxExHjHjbwBk3+0CS07nsZVkix3GNMyHHDKJUVk/HW0+GN1JatDndSrmdaWSgwsVjh5zBGJIip2q
qld38H521O026dJo79HTR032rEwE6sxzR38e721FEaAcynpDlfyERnRd1x5pxK3zgClmIWQEdy5q
jjxM32u/IOmXVC+bfbY52XvBrqpR+mVIYddkPjS7gjPZszR2ay97q3SoVriJPKOB15YMa42sunke
esWXLOXKCc3tMLlXdyYyDOGOwS49fNRk7LGaJUIaZJNxbxYWFVdKuezJJ5IHiw+I2w8GsQ7QO+Mf
bIOPrFVZGjfPgZf84Ha8aqm8K8NAykCKfXqsUEvv7CC5xHX4FFFD7PZDTwO5XN5P64Z8URZ7Zduh
Am6BqFi7hEPnS0Z3WiT3rSAbJqx/JxpumX9X+M0LdfQn2B0pOUBc031iP3TRFf4bnKqsffTs+G1w
+p3R4pqodXccjIGmXDk8WCyKZLdf6PKcXsn33kYSkrfe75aeC3KIlHanMZ69zHz2wbCvYBHXG6mH
X6YLKnk6AJa7b7P4VyBGsaqy4UmTMc6L1C+itLsVsMcUfFoRbaPW26qZKYUO63Mf9V+tXT6ZVf99
rHiRdADuHAsxvkZJxTvfKII8Ir+gVQ7HgFbvpzE2rwLdQG85ryWVXCwNap2CERUFYZiZ+RQwCch+
+o3vC8IXPLY4+T2GxZkC9s6wKo3YkdlEa4ddW0mour+Br08MAmA4zBbkld4ZdezxBlnydsWrydPj
7062ZgBwILXNQ5ZjqQi6Pfkw/hd9pd9WFz1ghvyaJ2fcjpHiSWL29KRRbJG65oTzoBHRMw3Y3jmH
WXFIE+cdhOsvGVinsoRuF81Ot40ceQksEk7G4Swnos76fH6ge3QezQa5X1/zmkA95uO6t7JP5DMY
t5/MIM3Wub6gxSfn6cHJg5LPzGAeJPi76fxTTASEpcU+y4rHrM9+hYl9nb222fn9+KkAwW3UWD70
aB/i5eoa53pnG+gmRBT9QkSy7Qd0QcFSWkp8MC1TtrGN716bkA/X+oeajiCeXWhpKbVT1it3qgi+
epqpqF4rYCjzD22Fb+PIzlVN67JPcrrFtX2ISZ9dYWH8VgSwK8Fy6JWhpuNY2+Vayv5I/egyGunD
RIZBC2rElQzyhRFsIm/Ym+78JPIOJXZCmzyo1/SqeN7UIfYEcX+iqcQm3qEaxK525ftIRNx6Odt9
qxIEJAX2JkTrTNv7I4RIuA5b+0duN4895teQoGw//1agC5LT+MtfMHq5vGaD/VoJ97nAvohwovtI
ZKD36AdO7WwTw+VRhzRaoD7olBkajqDLRKvQLI/lo11aT84cnZWv/zd757EcubJl2X/pOZ5BwzHo
SQQQklqTE1iSzITWGl9fC85bl1nZ93VZzWvAMEQEQ0G6n7P32hGguI2hUxRxG8wQa9da559E8eDW
wCyr9Ic56tjd4uSpIiVGUVH/VzadYZq/nmNVnO+QISmlA76qKMFgLeqI3Zz9BsnQtiFHgsSaBdlw
Vr9YI3QqlayzbaWy5xbBHFwwpFgDz7i6sYcY9MLCIjvY1doUNU8DTkvCXJdHd8rPDUYPtvhrrGGu
SBb7k+b8HtkxKtVReXdNcEmVhX4pot6dGpddxsy6rbO3jhrlviQRXbT0xNIRVrmaIkmlXEKLpdDP
saVD2oMxQDTpg11xiNt5/cMw8SrPnHKapv5pzC1gzfrRSHGak1aJkpSUrgo15iYoFQ4H47EcOFyR
2D05TFgr8RgPtMIMJ3gGABX5VtS8EgZzDekGOniZ3Nl58LMoGtqV4GMnJ4EdNT/bnThRyEcHqpIJ
pdDjMvLp3ajAa+ihelUZ79QGNyZwPM2FPuu85kxxSbkNNQikDSmCm9xsH4RpArfM1WcQliualj0h
UMPdgCSeE6t4ZmpmM/hxNrS5K0x648nEIbLpeyhBpZ1v8cPda6L6sNwbbIlvoyU+26jk8GlH2GvQ
BFwzuZwjWjll+Ri4FLlxJd2gLCWLhI6cMCJcCJBFiCUwPWXtOE8ivNajQ29mRzyZjI/S8DUz0neM
yz/qdLmKjOSOWjOOYPWSWDIIKDk8gFbbdCgGmqVkR0QojRV2epoLInswutwvwnhD7HUuQXJvgBTe
93hPEB0bEDoDcHmAvJKRHKDw2Sqn2S/S6Ez+JuddbHOc/jylMB+UFeCk2LgUIVR6RTy9WAnxjnlX
3QQMrPkpaIYhznfemHARisLr0qKwOeX7FcWfpZ+FppFisZzC3OGiJeaPxC7wRlFGbhxIa4Kwz5nY
HkbklKAFPa1ytx7n9RhQjAPahmy6gnoZXxI42G+WCFqOM9yWBgKCpOUEN0fZHeI/Ppt4JA6dAvjN
EPwALfNgC0qu0EcNkkRRGZlt+Yw5OdzZ9QeV/btEqXVCmqIfkxhfsGx8zpSh9MX2GGm/485DM62y
rhBS3vWKGW2yPj817rAfCIM7aEGPVTTfz9Z4oTXBGVJIsAWx+daH6CdHqgRIidNyW7UJmdWx86In
+Rlxxa+o4xI7a3TDdbJPNHHoJgb0GLluNaSZW9GIj6hTYlTR46WmptcuOlw6G/Z7l9nIXx10Cel6
wZu2XMfLXhXbcGzaTWznR2Er0ATVmst/f2+W4p0KScS4V+w54SKNo3BPGEeqmoz/8RsB0Jw+OOHc
GRGepeB2rAh4Ccdt0SV+UEapX8ZQvBGi3o50x7ewvZsDtmeGzI8TbO45DLn8b2GhZltkf2RVja6G
gkNhf0nMMwOCXdNbREtb0zGGKLktKV0tkXM9oibSq6r15ro9djUW3a4FwibgMen9BX3re70ZyYoa
ykO/6B5R6B9mON+1RmaRllbfzKP2pFbilRSCCyWxOb+oHGCC4p9ddJsMwdKyYIscFf04wB87gHj7
hMBwS/4Qle6e8cASX0QFZ6jafYLbEe6wzCXkt5CwpzrmdUOSC5qqp9SJfGwu+zpYdR9jfkgcjGjB
QzKa1sbO1lGt2cPixutaxyM2k/iyx3O/i42p3xrldDBmzlGu24lN8BqMWnfsc1wLYQSv80FRbc0r
HJjxMqHKzi+MkQ5DkDuPhhk9iQDU7uhcVazXsII7VGY/e13dazWyTf3Z1IefcRR8hsv44jrWe4+y
KDQZb7vixPz7xqycX3Va3QZCQESLqTXhvkCNQSHVLa2tZn0kenHUtOmiia8njetlGJR7UaK7yoK9
ZkBJobTIUZwVmFtIso9tiOZhWT0g2z91iW1t04JJrasS9bc42Y+8ZhK5YJNixhe9Rs21mZIpGyI+
J4Azuuji9E5fDPShc/QzAbfYhw8W1z3UzR+0BdAJm7FDAoRJ7jf9Q3mTyjKDXEw6KFe2rcW+vJtD
gIwq9vWJgA0siiiiw2BGkLr226X22A2vo7gmE6cgDNCtqk/5umxCz4M5LvTcTqeEIR8sZUM/QJxu
2Q2yxfXz5WNTpff0yNas16Gvvr6TWIsew6ApM0nH2USRrwHHv3aC15uRI61vihY+LUnQ6EpGmxQS
+vrbee0RK6t+IKSczCer4duAg8x324getW0m+Q7n4/2wygbsVFyPmOV2ALPWYgye7aM1ptAp6Zpn
zgzbLYppov/9a1HVI1mygDtIzXX3t/qa8ikfJh908yk/WUhL4C8gq5EtbClyUOTielMqYYG5cV9D
IOXiPdLfkz8raxVzIWGYX/i1KF/tgPFFoy9743JxyQbfLuz4ID9vattpG7TrsO55mfSTXHNfaylG
uV1aGSi9dV3LtZJ2XPNbqNi/rX/5Crkl5P997Q7yvrwxVs1t20eHGp1DN/Z3csPHABrSjVw133uD
fKaZRmafmHk9uSrkl0RLyfrpQiJI9LXtMFv1e0fyJZ7Y6Gv9moUzAEs1jV3uBmThVpRAiu4YGtGu
wEjmdfp8xwm2OJnrTZ7YDjZX3OthzWZVmQMdQlgcNmmnRfn/fPBv30EuUjIvaJAS0yi/4tfWi8mR
3iCu0D0Zf0cjpDz1jVIe7NbwpjvQ8PHXyoXByY/57agh/CJACvnHAfW18uroCqqgUJZ2B9VYW/xE
RG9Kn6vErXA4yhsOkZPuCMD+Fkp++ZVKdbjJm3HYye8yYC3J7EVFY2gNy1rKvuhGXSEbin1NvoV8
pVz6t4/Rel1gXAO4lXvCkGTUEsqA+g87hz7ZDnpoEmv/PsjWf8ARxD9AjICmNx/kHjz11niYC8I2
cZ4UDmWpQOpz/u3n2iWKnojuh1uAZJCfLT9SftsluRQM3RgalnZz/NqT1kNT7kny7vdjpWP66xmJ
jD3HDxyAb5GT3Tihwo4o/1/efB+tv+2iX4vy+YUy6MFd6yDryv56SUdrQHkimmT3tVWLOmwBFhF1
/fcRLn+efIl8TN4N171QJUu37VJWkxPv5HOm3Nnlf3y//s9dUN6XW00ufb1G3v9a/ON5efePx752
26q27b9OPWXOKMrKzGNYtQShQ6qiP7NV0XB/rR/dtfpNqLcbfdZ3QJ9RXxGqJ7f4aOuObzvXIJhv
aRFTrhQXNKVBnJdAAtPbQhiHsSE+ljYWCI0VrwD3eiLH29WhG5ap2hwMRfUqsOAHBbz6Sd6Ubom8
RmtsEJXrgw6Y1ozRHs4mp3Q6RmOBthXFAD/XrnlG/v8/Lxa4yXajoHeZVQtsq4cZ5915XG8CCPrl
Rt4PdLu0t3Kxh3t2iBt1PxoToQCuZYdn+UQYcqGwBcZDJML01DkM5Y27Xja+734/NhkTq1g+/bUo
nxJyt//+///P89/vHE9OecDgnEwXmFCX3ffLf3u7r0Vn/Tq/Pfr10b898P0Fv9/lnx77/nT5LNGX
b8B9iV81Wsv/48nv1399nL6eDv54+6Upwl0Vd49fb/e9cv74v9++6vfbIKqeNiMyYu/7oxCRHbRM
fY2KDGCklEz9tiiFUygoXHww1pf6ULZftKlBvLfeSEWiXJJPyLvtBJo/UJX9lwRRShLrv2WKs9Ql
hilY0HYKQ5+iOZcRKTr7Urh93yfpzt5SqGIQKs/7f+oSpQTLbci0KQ3tVnZmrHxEwiZFieB3mXC3
TGrI2eW0hnSbsRjRL/IfxVgnp+mrp1PLIQRsfYJtU+EzX6YjhKI6Un3Z0AnX65GKkIFGqw0iOGCI
grqY9RXqJao57sPArU7yLkLPt5zegS/FjXjh/5I5MpLYY8BqqFTGOE3UJd6FTG3IDy3wHifVEHpF
vbQnodbtqfp76Y/HmkZ1mIWO6KTWiOBOG/+6GWE9nL4eS1Rw4TkQ0cXcyH8YAD3uI8QtcnsS+v6X
JE5jxZy+H4tHnX0AeNJmnpPi2DYto1/LwlyIf59FuYXlfbvRn4KyDHzZXpPdtpjOSIb3HyHqd/dt
rrAAM7umYryO6+q/JZFyS//xmLGOH5n7fCRyUPzVgftalht6KKipdXDH5OaUm/i7I2fLS9HXfTm+
XBh6FR1u3nXMguk54jq3Ls45HRHOyQgH07j+OcRo6eUWJJ8t/X2LygeJWqc2y1i1V1TWAM6AllQI
8ygVoua6bYPBWOXdSYROdE6SXZ1nj1Y71yewFyWYhzLpjrP9ig21OUkF4/fNPz1GBQZPa4uoWDPa
06z0f910SPSoSoJ3+H6MuGtUlCHVZVcNTE+qKJf43Qjd6kgN0vLHdngh5AcZsNxOJJuzieRizykk
0MNop0m56feWkBvme+tEjcYk1Znn7bfmUS4568np+zF5ZCKCKP10Jp95vXTLDfRPm6pft88ItPqA
yRIJHBulst2dWeX2Xh5pX5tIHnkiGci5BEQO6hzvJ0jwbToDg0qDIlO3uKOa0zo6P1oK0SGMQmkm
pNVHQCfBH9d1F67R1JnAVE3UBPe/Fl38UQCUmT/LVaiu6/Frfa9L8i7IAOaOMQ2w9WiJE134bSqe
vzWl7oxUaCsPHnmjlXZ8hElJeVvQmrbXBGqDrY8VkTNDpGg6wjMH1Q+0rcNUjD79SwrN8lmpgA4g
BhBJXD39oT7+viuXpCIZ2gONBwYQck+L1tWgrCrq/5VWFF3czf+dtMLUDTRS/15awby6/C+Siq8X
/CWpEOq/LM10VVVXHUvDgIjYafzZdv/3/yjC/JfQVqmFa1ti1UaAE/1PSYX2L4oY9G6puELC5mV/
SyrIBjRcR9WEaejEB2pQaP8HZF2TN/ovqh/HdWG9WpaDORzQm/hDtRSMuIIiEoqO7ICeI8z5OnCn
djOQcM250Xo3+hmt+bsYtLvKhW2Uubjqh1a81C6YKot+D1W5MPAbczjSVqDYwPNECi27FPRkVubU
XsYpOEH7Xw4F5CzLbW4rZEabikTojTbm+hZbf+oZOAnCOHKPS3JVdvRh54xusqW+pinp1U4hOOof
ipIs0iU65NqqnGixq7S9/t/QVPV/WCU6chaLtYKuxl43y3+Rn0E/CbTRNY+L4riHUI8NUlyVq4xQ
+X2pKHu70PF6tETMTotxBa3loC/pm6LZsOAqStMzv7SrwPT0NAQXxNJuBbgPRetGxxSxE4S7Y+22
X2Yk4Mff9rx/EHFpbL4/NqgAkgw217ZshDi2afwBKQ4iuv52H9fHIAxe8ppScGXkt/kENynvCCuc
F+0aQ0nBTGw7VzX9VSZwR7MRzyDJRowxIWFa4D7o82c13F/dt0d4e13q21OCqNchhqWFt57X70OF
WsPQqZ2UItyWITXJ1srORlYQ9YxKQ9OX21irgUQozc/cgnNVBd0ZRGbmV+V0noeQst5yCZGAKsgk
XvQhfHSqjrppDARvwf0zQBFJk/hsi5swguDaVn2/Y3DxuACSCpaDMujHXCGPjXKrvVVan4swWhF3
8lKsiQx53ptoAW5lDx8zap1amNuc123HCMSH1vhtiHJDswd3Y3efegQtcRX6iCSYAbCErR/p+SEz
7ed6nPi/tu4xy9FywMted/RldeWj61OFhMXOuo6y/uDozjrPc+nyBRHWgF69qEf2ljGiLYpy6jib
9kNBd3/bTDAfOt5EKcMa/bh5a+bFB8Q1ErbGYe8kBTXmWfuRzg/TgLg8ncwfIjpqNFI2Qd3dxJbA
e12ZmwUO2gbr7DnNxQ5s2uuy2L5L8tymbCh7k208b+K8vazNxdipEVoNZNl7pyh+LOkstrZFagEy
Va8fmpfKatiWY1xt6xVjW5c6PQRBGEt0zt0F8XtX4GJLyJ+OMWpd60EP6EP3jECD6V731JvvBU7t
Q0aINJwFWjK4ovAQnnKnA9gD6TGCI0+LeRfFxQ9SuyfeEuxRoA4FCvfllv4KApRqfs3hKgxzvc3q
4qmazbema9+dDK+R2b84Aif50BWfbRLf6lFDTHkcXzcpKWNxPzyjkHpdLGJpgpXaNqOvVhY/FND/
zeBcLdSWJtV8wXMFZEa/rIH0b0vCX+IZchnIB3ogWrh3Ki1n/+lTMjUFDVxQO2qEry6i6N8N1zMC
iEjvLiKSADolgck3Htu0+XD0W8MdTuSXPkJTyvxQnX6A8ffrHpukkfgLnRAwbdws82Za6athSdzM
7CD/cjJPifqjRbrLpiyjLc76Z5E6D2u5y1SWi6RiBhJNSU4VMUQmhjCgR0I1xOVdYrc/Sr19jTKc
sSHlJI4kBLv9WycOBlOXTQlycVOIQ6tpPZiIQMP6n3gOqnmnwOJaMudysvdWiF8Q0N6abD4VpvFD
aaOKMiEndKdNtu3k3sSD9ZKwPbEPX6dBfE7rZN819SOs4HU8f+NY1kdg8QMK84c5j83e0XDCFsGd
SNAwuwrTkJAKgWLdZWbjdyZYDLyd9CoD+qJLPuzzUPtJmF27ERHMoMHMHnsCytAdkr1hM2CyVNRe
+lLiEgEoGrdURVqnvHO6bKeloLaWjog69LU54g7jukTkR4bDhncm2EncxFN6m9hr5J1yqBzXo/UP
X8zqQ9/JaEm7LrXA9ooUTXJkQgQJtMSPbdAfk1XcnQXvupVfAHq6R0RH4uY8PVYZiQxLYEECHdWb
r89Nu8UL7HJH8ZpSaPIjSx1vPb7ntlz7xtEZMsMxwJpmJKqvgehezPAVx+FMMMb0kzBARCL0ycGS
oLzWboJKu12fSFznJR2JE5zcd70L7kIUc+1IwEQcoL4R4k1MxkUozkF6dFo33AX18IK5XUU2VWtu
zal3X2bL5MckJ0V1T6QqbfuNWtn7Ug/ajQOdG9KQBSnFjh6C0SJiPe6POqzCbdTRfW21cKeZ4zVT
l2PRac+G5ZsJGBa4gZCMy+fQbc4p7C5a7LgiFpNMmB+qU8QekWsXyxoPi+6HRFmyRRApeg5qwU3V
o4vrO+eBxFfiwphd4B1MjiMRAFuI9wJMM9T3yngy4uhAhsk6TtbHnWEa11nVPAXRdGM7gCdhxz5p
LZ3mtP2M4lV51hufBoyrsmM6VrDQYMfeDPnQyKdmt76rTPeigHo6V4LecWS86aBgliorPKgTXuQu
GacQggIhtpCTQwvbThfS4Jbh12T0IK3WkMr83VYnkscbYJWxbZMtz+wKo+taghgqDFfWdYiAB2N+
fiyz/gFkHXG96sz5hWvPDAzLSrWPvG6I0kAQ48A52iDNf03hjntJgJ9BCZ6biCQgAAEboKYFPDp1
bwBJpwV4mTtMSXTdUjC8zojcIBC7Lt6FSkdYMov7xJo8RTgvOQ6nTU8ZwntLqhjozeL3tmX8sBiI
JB1QJkXviBqmh0cxqfDTxrkyBex6Csubuursm0XwA/ErE/9BZQL8xoF2THNjrt01FZcWFbJxIyqj
u450lYCU3K0uYaCp564NPxehPtTTsGz4DSDJ2OGVFhCro22GXi1p4JCrOtrlz1jFqpxpJSxT2mb5
nOyZr0HaR6aWd0YAruKhW6GDQ3B0pgxpQ+7cqObIxjbHzyU2OuoN856K6iPzcjzY2KI4udTb3nEe
RjxNREyd9A5xrUr+WnWySwuvCvYgwXkrWLofcAQxArNLXO6sLLkcg/55ESb4+TK3NyR3jsBpkLWg
Jku713XVgWULOYFT17Ssl7DuP2GNzexK6svorM3RYqTN5TyHWn6PEgArc6f5bam9OI1e7Rwz3nRm
9jkU2JorRtsdOgAMJ/XZzZQbmmFvJhdEePhw6oLi0S5m9FQZlr66Lp9EuHjQ6wjJrI/w9u4UfbxO
YEEw331g+HmC7/6AgMBa5cucmpY1OW7T8iq8gtaj/HVcHrc48zeA/3BO8rGGbe701L0H/vCzTYD0
zZPzVAEAH/iFttn6Y2oeRHBlz/W14jZ8caDeERCYIFvhbgK9qutmN/3wvgw5KrwUChz1EYTkhm9X
mNOtlu5kPjvHbsKLSncZxREabU712qz7dVE9jt38SvOwP9EgPUyKyZw5m3XkZHO5LUbi9romPpHL
VW9RhALatBn5uE25q2wTkOcS+1QN8AG54w2WOd1XSshjdaG3XqUDzGowESNL9qx+AANlIpfpxLBL
dGYwqWlg9ku085hPGB6xC2Kgf9SVnrGCEmdeZIqHJEU6VCwtm7HvSDRT77UeCmoMLcVK9n0Zcvjj
VWJc0h9guPyMwybwi2VNf0xY8elI+vas092HUo8NDlnRNg+aK+Sq6l1RTFwIw/i2zulGpq5C5GFh
1pywAKFXiFyy9jihsvDWZCdIJoYHtUvzJp02FmhnNuKoHmtHOWcm9k+AT6hHQ9NDz5xfOnmNMcxJ
kcxknbfiEfoMUzuizX6jAN/hlEbQVhasIb7xKpcnpxN2T4ucrhup6Q7rjSqQ1H/flUsaAJBmJTnL
J0dYUyhPiprO5N8vMG6yZpkYGaHU/34LuYRmedg5g3JT99TNQFu6iCNUru3GPgoX+6j0DqJcUOI1
iDIKJ4oezoyV2WHkjb5+IflG8m416TdFkgy7ei02TbLvIxfhOjO/CKptKMTrtDaaisggnNcaKfRh
7j9WunbMGwWrpINaLSYn4eg04FGZwMHr7AoociFy8Tl4MC3cdfLt17eRS/IjQlkvlu+draVlbAuT
R1gpUnElhfc52zB2tVxle9XjBXY75zg4o1/nMGoJ3y6ObqOq58DtCWeOIKon7jpjMqxqbyjtQcQE
N8hgA0DT0fUkIm2nzEh/azJ4AbcgiAy1NrmKgjDzp5F8swpbFkflco8SXgHe3el32KeQa8M63DGC
YTSXAT0O0Q175qo80xTTurV0LT7peap5kPn17UwBadX3Gz56kk1ewikuA0FkAvHe2zZN1Gvi23x7
KN8Yj5SYOd34Io6ap24F58dD4cN93s1aXl+q+DJuFDIlNZEjAwF9sFO0Cm6fxue31hRejIP1Sn3h
Y2mW9JjnjFLbJjj1Cp5UAl6hp1cbU6nMu0hLTu7c91ShkbPYLeeHouJS0eUVo8DIyt4WLkgiAeqV
kYB4hn9R7UwxEEscNrc51uKzrjWOT5X83tT06XJcmEzBO2t3XV9oZ5tSR4Qi4lqb4DHopJczxzeP
WGfJxKKcuQk5ZBhqFO8DWCcAvqfS5ALWKnlxLjRGYijX2scQT/cmUlxGl47CiSIashfHCW+JqXMo
ACTTroyH8GFcCghgnL9HXBO0TLqjOwYGnKPxtU7zae+AHrhkFxGe0LuCyThZX7YOk57QnPNoK84Z
xhSG8bu5qyieZOjwQ8QkxKTO16Y93KRpQmZ2H75bpNgeq9J8zyYnIs9jSP3JBv2CTjG56oIuvlIM
mDtBODVer9uneannB8VWNC8tcJpbmX5Hxot4CJW2APTVE3eso+mpW/tmwjuDsLwC1jokjFiLROgX
WC31i0E1ES0hTSZmIvUlewNy801aoSmK++myJXjwxnWDqzHRsoMwuvYcTuNj5mR0UFwM24tzI7yi
6JO7RsOGGmf2IQL0ifh+viNpgRZJY2mnsTJfYrtBBJenw260DHGMAPaiUAp1fNBcVdX6JWA04nER
M46thas4G0rfxEF6VdUW4YR5aB5JwtvGlnEDt1o9ENiBINzNukPWQtEaHzQcd4zRbbgzaP2IYmqJ
WSP3HrTOKUZNv4vy4BOObHWnoVJOisHZw29BjK5ZrDBteR2aiVzObq9MankkSu9sDGp5tthzQU2B
MjYeMd+csGcYR2cE7e1EBdxqLb1zit7TgqYleZgpqJrHXuWwQwyLoTCcC88hVZlVBg8Yko7AeGXh
PUUSN93Gs+buSmtpt7WZWgd1YR6vWZXldS0RmboSKefAPHeDmP2+IQ0l7PufSdZF1/2EyCw3ngaX
kcy0NHsc1s1tw54b1WF+0nBhLv1iHDU4rdWAvyCfFwZHq15haeI3Iy4HxMWhr5DADaQ6vAXXdRUY
+eBjSiQXEq8/GAXPKJRzJQjk0wBm++bytKiZSyB4XuzjBGKe0Cm9dM5EQQEJ1tydzTHtz2vDrbm1
4hy1+YLwLhDmtLfJMtiK3qj20VRgeVDma8bTyQ6zjTgGyn5Je/daRbjPtTojkcuZrwhiIjcYMhO7
je7uobjaV5aNVsZsinmvqsHJRCj9aCnjSzdo6mXzXDdK/NBPvZdS5bjBnrrRJwaMuWph2TLwvISZ
SdyM5tPxWp06DO0aIqt6e0y93Gh1f7KC3Gsn8Rnm+bxfxr4+T+hyHGvZIfW3PGqluyoUlNZs85FM
gO6AZ5rpERU4Qk7cQ6X2Az724qJJH+lZX5J9BGmiGwPIMuhFq3NegiZZsvasl616S81yI1p2Tmz5
IwobVNvuyVlv5FIcX1Q1l2SlVhymRuvi1FwwBQ64OkbKKRwgJM3YlxPI936gUktSGsi320xBPT8b
PWUbBeI9sYK/CkWDGacq+imhXrzR1hSEWGJMJaH0azFeiaUMaLITAaGCfOjgWs9WgKJA2mUzLqG+
mOxG2MMn02UCDwQ9x0HrzKeoNb3IQWnHDENs5UPyBori09RT6kBHRftTgsEGRx/+Wkzhv2JqAYuX
W1Cw1xu5BKIaWtHQkbYo73dzFntqAqwwXTtPZrM2Atelgnk4I3yTVq89hQbznQLYN0/0cSi25QRy
ulkHLrW94moS2/VUkDBfjwVy6PL9tM213wck+cZpng526pKN8fdr5RvImz8e+76rqpjrN1jK9G0T
Mgf9fkntMJ4NyZr/8w01HIn0X9cv97WoIZin+hbm3verf/sn+aBQ7GHL4ZRt//wF8unvLyTvukKr
mAKTLCSfiOrA3nT65Gy/P+CPV/zTu3z/izZx5MYd0qp1tMiJMNygQM/Q5a7mTsW26HiWUeLLp2uT
PrQ+rn3opLmLQ0el2wZARt44AYQCiqfIXOR9UOcdRAkElQRtlz6xREzeIJUOnj30K6lRuc8K8WC7
dMn1dQ/guPpwKfmQUUycg88uDu923RW6sGGCD4gAX6Kekbu5nPJgIgIJS/98zkhgg/4OkTBcUUCJ
qb5NxXJshvEzystxh4XCBtvV6xUAWkxEDCy4QM4W3EYH/QN7EeYnxunW8GimeLCatLqPY+dXVFbX
rlV7oeHelFr4A8ZBudGG9IpK7K+mx8Ya39RTr26mPnY8gtFRS4Uv9LLxcFgCV57xbrdwRCj4dBu1
AaWKz8IGlLRNluqg1NNHmufGmj00eZECbQf/KJ/ezZdGqfyCeB5yjbkvRvMxSceHqJ4rv9fFjewg
QBBaFeXjhzFaWBiYGdl69dyYP8VEJdcCqEfszkHPj4NKBUhtRnyRUffTJPk2MibQ7+k5V8K9roVv
ZB7EFL3QjxtbXRNnYsADBogRnzZ6HeO/pMd52yPmDcPiXkmLM0xFwrBhiNcwMSzzWrd6QmtJFaOY
ntVPw2zdkfMF4co0912sfLbABjy3ja/1eroX2vKYlmDRNRPHXeOWF13THiqFDjFjtzQN0lOFCPcA
hfWuCu3hagh+OeXMsKgmYT7CFjEHLQhaqDU19CEvxqfBmjCghYKabHDSbEaN2YCbPU6GANQ2EnV7
bhhsbatUuB6kWc7LuHJWiyqJNgz/Q6W+6+rHOZ3HXxiskKK7KYaGWRl39RQctT64qtH8uYN72YHV
3nTGOjy/UkXyYGouYP/SvXcmL4EDZoHx6YZLGJwHO55R/yK+bU3KmwqcM5i8g5buy9B8qnDw6Mnz
FGDPCIPe2IsqOdMbz313HBNGr/Gd0PXAE3b1Xho5X7kFwMaJZG8kBmzh3iDavratHXvPiJyo1ngb
d/YCmklry2vbVzQhcqNcY2AtBOL4klLoD+BLGMiH60TGRjri1flno4zTdtGHctui0zCBBylogXPi
zDZLwgqsRgAm7sxckJn6SRCJO9+5Sqxuq0V8On12bTpmt9WnANFcja25DG4xLuF+KVKCSBjBCsOe
fccKHsmI3Bdq+8Sk7MhcgvSAgW1nqi6mUtOCa8IPrnAvc6QvZ7QiP8uYtOr0vszcX2JUa38oK0JU
iPM14A4SAqW/tVAssFtMHlaFZGtSUd3qWYFQ3K4JjTaRpFO/15/LDHsYwDUKQVlMR6K1+41KDtaG
U0p6SCuojfSfJrMXm2oh0oRAE1Cp6Qv8uGM/YZGyqJourIKqUCxvKt4yLnI7fT3WKjtn0nKqLO1q
/QPVGG8zhq4UOA0/7bi+KlbzwA7PmcZGe+o2HYGhREs1JSU7cq8pTi9cHElEYyAEmRP/EkD9BJRS
hCQ/h+YXj1VP98aGw6KHVzmtAq5m5IdiJELLjyfGLTx1VoibDrlyZ9Bdi+61pdxzbona2C2kJ/Fr
m8kr8eTRvh39RqQvDeUR38gbC8JqfR9kDsQeM7tO24Vyk/KSTw4NqpHjalVrBfabXroB35cVSfwM
/S+gZsxW6Grh0zTnt9ZyPxrqIWwN7U3sw2aC+5MHuJCmnx19yCZN72K39IHPCjhG4ePakKbbBQQU
AtBe2Nke9A8O6ByPsZPi8YRki7A7YEivpQuxgxZ4qJlQKkPAIyHp3cSIs/78zok9gWW6bkjEmVxn
n9UBM2aT+eAErt9hfrJtLfWmU5TRH7Dk6HXU7hN9Dv0Vp0cjDcIlu6Bu0vMzfw2C2XBtofRUrqe1
YI9nPNkWPemzZejpfWyvpC7sDcqHHhFCmJUfBH+ZUG0IKaooFZ4vBWQUa3ADQg2UeO/YB3yC1THQ
54+aI6ih7Kxo2tMQU7rp5vg1mH5NylxhdDC8tmyuRgjYhkLpGw8ZuMXhSrV/pZQMdlVF64CKzLbD
JUq2bXFg5tRscyYzKL5EOa9Ug3RnUoNFrGfhzqNrnKQfRqZnvpUtVAQTMDpuON4uuH9SzqGVYj06
qXbGxVXh2tGvlXyY/F4zf3QtWGqO72bbtXynrGSlKxhWgsK+hqFEyHzRuhsxdR5HO2vfJtKbEURS
y01hPtBYw7PjNjknqpkdIlAbpO3KnVjd9HkFaLLDKAdn3N1Phpt6mJQz5WeDApK6AZ2d3gKypOUE
SuRT/ZRm11npkpK5jDrBe1vDqPTLvq+BBVWOn/ZXqkrUUdVjLoNjBtqNE1/CIKleGBzoWXiQDf//
BZ78N6ocQzM1lA3/XpVzz1jjn4Anf73wG3hiwoxHf+NK3ska6fyXOkcCT2xTGKaFTVRHT/GtzoFq
YpqqcFyBf8xxDEQz/wk80f9lCoQ7MErAxEIwsv8n6hzNcP7AMUEHhVyuqppmI+CGyrMCUX6j8rhq
W5C3VStn4MVclaKg8pHC/Ad757HkuJJt2S9CGbSYkqBm6AyVE1ikgtZwqK/v5R5VN6pul7X1m78J
DCQjmBkQDvdz9l5bbCnV9NsZOn0fJ5HsqLz5Dt4H2n3nbO7f1lK7L5bI22atjoBnIh6FytHeHJmW
SNT2binsGgzSdB+LsPBSWpZSvtj5UmmOLQQbTqjZBbirBFGuAT6L9d+yEfRqm7p85Ln1Zq09qcfr
xNqjumXxfWhb/x57eo2fdHVOVscKnQr9tjCCd73znoKgfs7W9Xay559+g9cQ3N2eDvaFQNezH83H
IK+u9MNQgifeTR4sFkGr+WM9IGLMoI0gH2rAL7Z6/5g7ZEOZbepxo5G8Mjj1tsuKXWHOzhVHTdOn
jMTlRISFVv1BWHfgVr+k9b5qRggb4l7MBbU4iurj7HfMVf5MCT+cEpXFks9+FlhUJ5G/aF5sUYnl
b3Yijwp+/7DWxP7lomUiEps/V8PeLQOF3rw1H9siP/uu88Tact5YDYFumQhCv9O+D874rWmrD6rv
RIqG/ZKdyLQlloBIaNwrmG0kK0B3ie5moruiuKVFkW3dFFQEwGLNQ59vzC96Nt6MNRIUbSpvnJI/
N+coEAPHg7Aa78G+4700QTQ1NEtzFkRZ8zhU8xFLKIsAkV9X+oFbfwI4opnpR7skDP8Ly8LVz3/V
xX0eY5SOsVEK/KJ8xz4X5P2hz8ZOb8LYs2g0xGMMfkDTqKFAr0ud+UdX5lfqScQJFUW6D9bHIn1s
3J/6DGkZvsJ54CAsqH0eQbQcMzDuu+CHn6cXremYuYnoG7Pfe9g3WzPCPjql48nRcyQ4cyvjOeFY
anm264zFo9eUPAtr8o9JN9zkjdlcGm/8Vvu0pqT0xlgdUJ8eMFCnJx6Pk4muN+dSzozXspit0LV6
SvJ+fnXrNtsb3bax54ceffsR88WtNdKNxZntbpOxomPavDHjWzaV/mJ7+SvpAcU2H9EpmZ7xQozy
z2XEnlvdUDHf+zkqAuQ1JkoiT9A32zdD/VRP7iNRkaAf6fQtzQTmVA97l+cVOc33rtPfmgCxtTgN
jdR5XD3srW19dFYE647VEeoGAsSq88tALuMWYF4OVe5fm95NbeK7+RNLP6azJ/P8lmJa3sCu9kAV
ye4cfosc9kzuV8aGLBnyLNryuWk4Rebo7oY43hqr/d6iVsFbN9JwoOoY0v2WxquHYhjtIyEUI8p0
QIAjNJtqGZkyJqfIGap9p1c6vFtg7JPEsqu9r/fIA2aOy1qIconaCLl2Vnu93JOD8W62/bd/fpih
r29VvUXYX/vaSr2yFB0Rcuqzf/s6ir2sJvSBvp4NK3IajCMX5uervOMw7Yw0W1CmIcBlPeBydkoW
GpUzgHDsk/Hsi/Snp7vQ1gR2ziM8JXr1BbLCKgHGHAXHJKtZIweycIDqcQC2RzFB7U1Wc78subH/
eku9n3XmbTqn3v7r51P5S+rHFp4lIRPVEiYCHSzVvGpgi5QruKpOdd3+1tBSP1fFkXOi+6pefP2m
anvhqaRXBxO3YnAzPlthn9/02cVTPwT5FkLnSHO0k1qDsX7qhRPt8yq1QeJrl2WhwJtnHxAwvMIk
czn2rfcJ//4qDBanqX9oYTjcG7BbN9Mw25dyHA+iHbIL9Jdv07J0VDMS8+ga1a0rjQ9iaONN11Sw
GPoteKuNSTPvY07Gx5QVBzLJdNNIqlGJGm5us9u1jOzrvIzfylSrd9UIg4A4Iy0ECeSfO88kCy2u
n3sfHYZn6UQDNwT+MnXcFWm2Y7p+EevbbASY8uHDnqP1rbNwdDgaYD1f36xatx7mORtuWXCcclOv
z83af7S9QVRUZfXHcql/2DO1l8Fpk2PSjxAaWFyUkPZphpKL22g+hC0/ficZ+jeCqv7R1aP63kRz
YvkEh2qDAP4pUqKJqntCkxCIzEP96s45AobkscySCIiNS3ZqQoZdD0dkHJKVFJHWP+cBD9zeEGHy
SzRzd2smDx1X135CarchKbA/GxWpLfj44fTHJAp48K9ZzYHLkRAxW+LEXLhiyoeZSVMKugeoY+q1
T+CVBJLNik2mzHVqs6bR3Uj7ca/sf7My0gxDP6073xZAPEY8/bZyAXgepMIio/yJ1X1LHaIiFip1
Q2cOcKlIZ4faqGSnTHkJvl4vjW4emANTk6/NlTU5HWG1gYvgU5Pkiu/OrvRFzIjTXKlfb2zJ1s5p
93Z/7an3vl56Ug4vdfG6VLdbUkm/KNn8goA+Za6AdwmJWCrV9epTWzaOU9OSKkNZRHQRFDfVQjCU
ZKurjaMys9SuCs7yLefVdclNWyQg2mFWgD4A7b+0Aqxyk0onxtdLQ/oGIukgIDgXX8EsfQWfu4l0
G6jXGgLXXYYVwVamBBd7gjRVcEVyGAplXiikj2HC0DBIZ0MtPQ7go8llkud1pbIuQcNy7JS+iFYa
JOToSmZYyBFujspF/XWWlVXzb5bgAiuGs+g1gUX/8qoq46e6ENTe12ZtaYUODUUAdd6V3VRtlPlZ
vdcoanzUufG+dFuaElwQnyFgatf49HVp/VtUYW7zPL056emPXqK+I+lPyaVTRR3RVR4ytRmko0XI
Re3Xe+p4xxkeGBj9x0hSv782mvTRfL1Ue+q91X1vpdfGR4xAGV8eU3W5qb28pGOYAwogQpnr7Wvz
dQ1+XYge/h5dGn1G5fmJC/8OYzOlPDncqU0hbV+O8gup18hnG8an9vckbUWf5+7zHlW+I7VLN4yh
LV/CrxP3d/vs1zm0RMAM3hNHdYJGdc9+3rmf+07W/ETL0O/Uifk6ReqM/e09ryIKry0qMmTlGVN3
LwkqdDmUM0i9Vp/QJIx2baK/4Af8182rLGDqdZ95iFfT0StPTPs2qfILqltG3UrEI/zz/vp6z4iN
g9eb9gHJK940oulywNmOR/JRL31rNu4gwtP47PMH5Ht1jLhsdIQXgl3oz7qW9Gfvr72/vadJzIHG
3B3JMkl2PBuHdO9Je90sjXYBjjtTDRxoxHF5M4RU0pi34tBTpxC4evNvZ7RUnj51RtHquMc+Q+ct
b0F1S9bKDxjHBnMXB5egkHbBTilBPsfZ20BaCtW+JQtXkzQcqlsS4QJrMGlHVKfYVR5F9YMNvsUq
K1EPTjJyQfmJ1d2qNp/u7k72WXJQb9v/SjQIFOGgh4sS2oXOxLOa8bp9nmF5mlV2H/Qp3qToidaI
uiAluX+eYUeSM9VLtac2atxW70X0waOqDQhKY/hUw2URoZjEvUw35nOX738nOyvJtnlv7788rcAp
6/L4aUT9NLR+foa3e9192lcN5kfHLy+qct1+vYzx1yxb09Wk6yBJfkRDXh5Un2U0uJDV3tfmv71X
aRqj6NfPxKU8Cv/tK2bWKrtyTf6orynU70WxThiblR7+7df+2+/+7b08ga6zAnLZpPLwq09xfn1Q
DJywu/BWPdMz6aUMpxt+GZOMcKyQLZ7tWCYUyM3Yc7i/3psyac41dW2vd6Z3mKeCFoooDxZ2MQQN
8jfQoLCrfkX98n/7GvXBv/1OsHg7spivCA2R6XTWq5Fgc1M/9fl1nz87NkSzkgerXwxrzMk95P+m
Nq76r6pPR6ymesmFotkypwSVcnNuDF2H0ZrgNeldusqjqKvuSBuCJp3m9ec08ZkWVNVB2d+UW/bT
E9dYsvs51EZ+Xp+U3+3LAxcnMA1oOJRvnW47tApheizERYFunK7KXxo16FgRXEfVddFkX0YqtJQZ
8cuR6Cu3qHqdBSWRekmWhspw+Ln5TAuRt34zWFxCNK0fbF8f9hMJKKXddDvl21OmX+UTVS9t9UTI
qmffw3OxsMALlUV0JKWZw4YjSs5z1FvqD1KbODPcw1gWhyFwIEkrm6My9EHkznd+gCVGOUaVk1Hj
wcBSTz4DaWFjN5orBEw4i5kr/OUXVXv9UCZnwYUoB1AHg7czrfZOSM+wMgmrPcMZQzvtBVRYht5Z
/qja64g8BqYJbEYOzsoBmdPoKTbKMKxeT3ZBUQnKJHBX8J6pHB88OSiUpmPvYoxIw7hOdHEllHeV
w83nnu7EmCGBclqrscvkbMhvychRey1/GCh3cZO1QFx25g3RVNxAclKlNq5IRFhFgBQaOako6YIT
iSOnaGivDX3bypwWX6C7yGS0yJRo+wTiMcGqE9BMFYqzaPF9Cwhsry6cQJpYqWWzAFe7COfoxdiA
bYMYdLgU/enUs6hty13lagWsuRwQKdGvYjamcm/UHueI58LXm/qYaKHoaNkpU/jXpvQz8Cm9t/96
iz6GbDRXFNf7iBKJDViLQIIH9W3Kqaz2vjbKJTsY/SuSIH+nvujf/OgQBznwNiQJqxud42CzGLtE
YyyOCWRMR87B1aaVc6TESQgBLOajnmucYPWBVlssDob2I5KnRl1tflDClFKvncpmNxkswcm1PsyR
yKkyXnBVyFmd2qTUCPUtYqA/FPvanUmZk682g81aIdJQoSs0AuazrtP1Rm9OCIt6jRFioiXmh1GX
T+csA0lX+yOuKqNNEPOrd1M46AjDq58IT8czjcfxDBdpPKuX/9d7WbfVggmc6nQdzaq+a8dyuhVR
h2zO3DGvoVBEDHOQ29F+LSdge672NPprhmM88vaJ6QI3CuoK81QZETlWtntUrIiKdX+9N8rHRa9A
tyA2Q5X51PSrD8uToFc7io59CvFssNx301iS69QmJBms+r0QRn2lJ9BE/g3T7exGLLp1mY2W1pbH
DREnu8lYhl1q2FsMV/cB1dwXFKH5KR8b4lVH7zGbW1mFGazNqHvnKadQOWdjdOyi9SGPlvTYgpS7
NNN4HS03Ok4tYS/15OxTrEnhSj6e8PBOL33WHl3SZLbaZNHkxX9wsvvitooMYM2kpB1sggGBT7vi
NAgEzrEMOG8d5zb2cCalQqMUvLxOVmBtEb8vW3g01sbQEEqYjm6cBgTqVLbaS5dZLcEZ7Im8/U0U
wrh32p4Yv0RNcktrm8OfonlLFvDaGAtGtA7plkO/CvIDri76cFvIKuktuTEUPlmNg/TbrrJfrFs2
8PoiiY9V192uo3fHcDZ9s0Tq7xcT6RluSrjPlT4dYljTd/lC/J7ZyTJI3IdOpgPo9Ob9YsXiavqV
vh0bMYaAp2m3ErmAlcK/saqu2nsteMyE2oxCKvrNg9No34rAonvopTtjoJBaWgSmpfXFCkykvuD+
RYF03BZsogFKIjTknR2Nv2rg2IgKgGYRQYFZ85sjkwGjJs2OtrM8z7qZ7NoMyNssfOfcJKu/y4T4
Xtv4EUVlFNuOyvqS6T/cniJuNf4iGA6w7apT4Q+O6wywynLFDfA/Aj2tydx3lk4luMgeW9foDlab
DPuotzBsObP+0KOJ66aqCHHJmfB7+3bv86SAWwsObohRegTObqQIvp3bxTk4tHptzZTIT7SZNTzj
fV7WK15AhLIuU/+9tZTTqVnNZSuDltcp/TUiMx9BWDKFva5a9luHDoeYkRqnblQeMl5CgryyvrEs
DVV9yz/cOMgdi8VIbgFiL8xlpQPVItV9EDQziA79PThyvinZrDkLzI3Po1YgmaZKEfM0H8i/NaEz
4hAZjnFFsA161tCqC+JTUmNHDG8Qzlyg26r37yKdPEDNza+tPxx1IqJPed7+aGaaJbVhDeH/du/+
fzz1loOb5P/VvXtJuzit0v+IKvjnL/2zc+c5/zAxOZN74LCcM/Gu/9W5861/EE+P2gMLveM7BCb+
1bmzgn/YjmMz10SP4ZqoEf/q3FlkH1guZUEPBbVpMpj/Tzp3pvpX/sNZ7/PvYxrgO/lv6ASZ/Gfn
zh8RttRLbByHtX1wAwZ1O6+ynXd1hpRmPsjRbUCctte2h2L1LsOEDWU0Dm7pkCpVWtFwXrJJnHkA
WCfTu62pcCNan46Kr1PDUjkSb7ALKIady0Z77gkIwfnxvBpYfhwhwoC+VWEhbRb6EhbuGAL8eZSO
sVj4Z7poTy6BiH4/bsjABBZc3xSGK3Zecpv/WdfutYnmt8hr9D2NTh7n8fx96u/Tl86BwNpNlzUd
tY1nNt/BV/1QzIsyCbZx4z6mpnulDWGgGbJ2o3Za/qTw023PjfZxX6GXobK4HImYIO7e5JGlx0Rh
mfQDZUO/rjzz3Ne2dfQ95LaOLN7bCXVVw/ZPq227qEBS/KINRJdgoUdZVX88dLjML9y7tgsYd3Dh
hItoP7IZvt2YoyDXX4rgl+UE36x0vMnS4HlGU75REXOwM4czp+8xjSiTx7JuoWa0JSGZGlRj3ZnL
XVc28a4WDGrkcaH+TBBh4nNb9K0pQwk1Wc+agzNmryTsusp+w0gf71fSGslbZPRM+f+bFhKQjsv+
OUrat9oJ4d5Wl8Xr/6AUaa5N6l6Klj9b5dCbdFWd2k7vTfCaWyeq6svoaGi4kzHes7w+Wkucoqwb
fvFgx4lMJEKY0Ld4WezFeMHhf2oQqpmtnmAmL5mak9y6I5i1DO3cNQhdfbByz9yUAcIyP7HvxqWL
TmSSo53ryCLIA8T7tEkEWckbGOh22FTPzcKRCuK537oJPVrDji9jigNpK9Msutk3Tt2s8XtjcaiD
0CZ+mYvG+C4iUX/O1crefHHSKsHNSy0HkyTVafeYktdIiCLpprSyDktW/Ham4NuUGAcYRngHtR8J
E+L9ZOYTaHMyoTt7lxWsm7FNAL+zDpWPKlquWEzI6nu5jIS1sUnXnu4RfxZRCfSQDYNHUzwiVS/L
KbRAyIIhrk8zUdZ5R3rZ2BXGFszxU7Nm/Z4E8B/zzINbLUQCMV7R/+UHHKnj2ZmxvVVmxiNMzvnV
piuRhq+aD89N1pC0eDHB3Rtw3uXydpAbGxdyOWXOUS0t5uI97YJ3Wy+vUYd9cwgwIgw/EcYdKPTT
Oe4qaJc2TaOyA8YBEXrdmU7xp0wzAZGSE4GN6MrwknKg61+FV752pR7tpeNctP1ubhGvZTWq2CkC
3CrX12oTkemZolw5qJm9Wl0yHcQFg8tV+k9R2W6zBPcZRlT68ZLuIA+Mho2HstRzng3HrCPfWs+d
fpeN7nqOqkw/R2QU7ybCdlHox/2l1vuHTrj5YSWu3HczF9CnQzKyAzoDr6fWZPdei1gabWe/nWjY
0o2czpNVT6QvprtiKNbTAN55iHVJSxJ3RKqSYmfa5obqAyjhCWhjQZhX1wOF9ISGF7u32+1od+Kc
jb6170b9rm0nVONubGw9kJmf/8/UeSK6a9qPtaDKots1HdbxELX0FJIpga/Qiz1T9SdVfqCzTUk+
bbfrLz0P5jPmyJkWk7Xxp8d8GgjOFTpz3GGroFyW5982scehBfac11l5mgvkXjNlfUNeKK1mFGEZ
9WgoQKsGU4cHWCM8RKs+WP6We7EY+E8QIAiGgi1I1R+LZ6b7pvaWsBdk9o5G++AYjDRkYzjbNs29
MzUBFMtmtjwWvn91mQ6FTqmth+GEG7G7t03fukUITifWWy9GtnO5ePf+3HnntSF7WGo2CqqIeNcn
jxEBIv20GOcWtayb9JwMJ/9lLlO8c10wqQ5QXPy86OVbVyddPT+pB9Hc2Td9nJFZGFfTdZ7zpyqP
ogNZiQ95zTR8NvT6sQsCzLxd97J0NeNW27+rV3HSExdoIT6xhtepMo0b0+jt29UhS6QtkAVT9CFb
XdCsrqKYow4lIIwDnf5gbthXozV/D2NyLvFaPORkT9l2uh39Yf0wk/o2QT4NwkauZqBFhxF50K8c
WkoC+EkWvZmvVTlsZzMfbkSSWsBNMcl0QUMqZ2GlBKNEBhNee8raLYa60F/M5gCACh8xloOjN0cQ
2vCH7/VCY31nETm51q535sLv90GPPq5nngy15Icdrc6lbu1iv3SNAcFB3CO09BnyURkmNFE3DvfU
TT3HP5oo87f2nLPuJT3McWoPfJrmnt0kvXZkH2Ebn+qwmvPXfrD1q0NFdq+5FTF7QzZuWFzkoe/b
hJzXmr0DMQDrPh76ndlnL+5SxJvMQqE6OZEgzLVowzKhy0pM5CsQkOoaC/LWmzQadti03OO8+OZ5
qBHGzmMwPDlLaEdFfxdVzR1EZYxMNNApH5u4Z5MVqY9B6bgsflUWT5GBYnvY5hjVUlucSIH5lk6G
foRtaTBOiPqy+oaDyg7PmEHi943Od4XqAw4h+RmNODAogclI8/skNe8pA41PlVXBKuhj0OTRsEmz
YblFcFrdNHBFUoInHwsw8nsKFN/i2DppmvVCjTj63jtM7YkvaW4QJI1jlj+N1krWsI0MYF6xIM3G
cGbdNnx0y6HQJ+2crMifrR4sdGYjVdmWhTjMxKBSb80wTdmgysfGnR8nqz95nnafTXXwYE++tRnG
trv0l8CKSU0Z4XrOHl3meuGsrqJjGmcEx4m0l9oX5W4sc8FlVXxoIni0gKHc5W63Fc7YgnHwlmvV
XKnvwXdwiN8Q3nzjDaMbJphT9yi371avn/ZpjmXLik++Pca7buSHVpd5WRNN72L143sD01VltsHO
GYigb7hkIdQ9cYrOawIYf4mHRwSf6941NAwDZRnSSy+f8cTdFBn+e5LcrtEEVoOn0HrRuycaKQj3
zam4JVZKD5fSqC9mbz8R+ArFEB/tXYLi8QZ6fr3xvy9VHN8zidC3yOlnSP/JIcuIkG9yVFSN5onn
0aaOIIisPBt9Kp6FnzuMmRNIqLVdkazZENvr9rk03lAkdMd44vTU6MmTzrsxgPzLMA5Oh+mhsCZ9
zz2SOfo0pKlxHfI0Pwx6bb6m5sG3hHvBrVFRAkAihvXxopEYeI3EUF6zbL2JqpHA9t5stiPkhz3J
9fD5Wv4LlpY0h8ZOLVyqiXOM5uAK8cEOLWewnluuL2jnzrJL3PijYzFyl8r8FyCUDil6qE96a6qI
LkrrE3Yz/wFj8l2QLQ8jTadva2LOu9ZDJZojAzon+6zTikuTLRmesMx77iwTtD40I0n4TOdhb8Vg
TdDGaffMwsrdOsctL9Pi6rXlzywjMdfSUHKsmXDecpDC0lJRjXdYFcRu6fVkW3b2ECKa9u/Q7T8G
C4t5BnwPo3yfwSBI3D1l0eHAvLk7aL3XUrWO7XM8OwMojKE7GnGcI3C3YEcDr3iqG74ur/roYa6H
14E4iA0pB82zbiKmLkc7+eVgIk5Hci86hPAbYme12eueqwzxVTnPjOrt2rz3GQq2ytDiC1x9k8oR
SBX4Jz+8sqOat1g41OvK2Vd9+0zb0m+M5Ad6xjunLsN0YaC3a9MNo6UpEFIJ7Pm+iwcJNC0rfxY6
mSte0CLrpwgyY+g4TX3MV4AGjHYMU51E6ffrTSp+9yVs3GXymDxR+baGnAnx6HJ1cFw1LQn2Vckk
Oepel8jorqTXspQT2rgnEtoC2rPYR40AdzNLcMWTjBvGpSQ4Cc9/wx96wcDqPCx46tCNdNcc/D6p
JdT5c6+db+sg++BbogstP39L4pbzMaIvvLOSsYfXMuGPmafdGs3GG8gIEqvjxxhTGryYqjrWZUJN
Sdd7Cbdn6hjbuwbs0T255NKQ35ONiRg7JNdh3BeJRx+9GECYEDuaw5TaWh4sMCxK+BSZHOpkzihL
7LpaN75BcahsqRyhqZfFm+h+LKIHkTgOd472B/N1dnK1k2jqU5yJYFeVOWKqge44F9q4TQfN3Jbx
BDZiaahx9tqNqS3XjMdnz2B/52W4M6BwL2FVc+VT1G0xU4/7VKcsyezrji48KyMT+lXn9yceEu1Z
E3V6Alf3I5lWY9/DBNroAb0uMii8QzpStKUVVt/MhfuQCmK1giY/Mv31d/PYBKyCY5yPlJQH06z5
ZuwlXRwc+5Vv9sgBQeZJXpKpd2Fgk1vFcMN8ozH6xy6bCetOEmQe5F3uGCVB0kcZfkmLuGbC40Yq
k20QulF8O5e+uI3eKUFM+Ij77lhSxIBuq4OYL23rNCzeQ9prw3GeKXjFY1ptAMFpWxviKKjnm9Vp
U7y3cO16USO4S7y3hXTksvOK54ogCY1grKpMyitkM8H5yQ/2mmEDwMicYb4OB2zAYT2hQncwMW08
go/pJdcXQH/c6hOP/AnNZrDakCDylYNMyVjLcvGgeVyYmYFVl6hkFKy/V2G3l9HM+d9X7kcXI/lE
yUKeVjXoZw1122byJ9giiFWBf+IkRRb8kM/NO63DZQsvL2bWZyGLrO3ioGUxrodlRGVXOJB6Muu4
RKSE+Q0eLAe5GkY8nL0J2pumrs294fpI7lb/57AEuKVpJWwFuTyRg1FlaHNyfaPpzq6GHUb54AHX
qEAdm3/TykfHEsmT68cpzDPjXteIYmnG+lHramwCQUxaRqfZN3M5XsuMiV5ie9c6cYO7xMHxURFs
VbbpYUEIfNG8Xzr2+YuZYyr3MqSCJZ0tvX6aRG+d85GP4KbuhFvEYOiK9OQTUmi2ZnwBLOful94C
G4GkOvEwnMxr830o6T5kxn3Veck78jiqOC1pkuYtXkDYOJiWb81az7aWjl0hcPIu9OUT14sMlxGz
nI8DCp5tEYuH2eu5eqdMP2LWO/Q2avDE9RC1dgKlo21extofLllqhQaFy2vt998W2iOYhrWIKI+g
D2lK0VbTnZQYnLLZD1Zx7L0AIJCTfedRbe5K9GdnF/OdnsTiJJ24GavAk2G7zyR6iEO+1OjdzArk
ofT/us8FuIm5ZuaCFhgajIyc7D2ECnny4uKnuFJ1J5yF473nEbBpfkx5PD/M6CK36zj+MubxW1IL
+5BhWbem1kGDZf9u9eA3aVLmoTTKn46bd6dkHfZBk7k3LIaRHbsVm841Xyz7hOQqeDaD6gPkh39c
g5XJq9HEhEieSblpcc1ZCOHLvroIA0jZ2IvmIzF68t3MN7unVF2nF6aCyUO1HmuYVLKUULwlw21L
7txrFCNr556zIJXY5WMJbSCo4+Wkedl1HMWLQe1jB+2Tx0FS3znc4hecPrhEOoNgx8H3H2o4I31g
EqnbDz/ZhCsJeHnbeE9JZoHlIPFuIivF8zDvOBj2EOkk4cx06S5Ne5P+8QImmrKTq/UHCDbtdZko
G0Zu9+56iEuT3Easj1MqJjrqsdLSp3lk6rl0WnQQb/R4RpbvYj8hBg15D0EiCdpbrWoIQN8X6M1J
oQRCFA8No9tAZ03L62NijsO2pLgSRuVKY2ed/JDTVOJ0peA3Gh/tWta7e9ObX8epZryZax6FMN+J
stEBZ07LrZh8+56h37knk24kl4kHpSvIaulr/wLGktR7zWdGBq6q7Zr03UzGEwuq4nuJNcr2MHfB
s0xuyoB8Rd/rc6aILX6ANrE4tlRiwN/3d4ZO/QW5fRS6xMTQrQf81xFcZXcLlVStzE5jNoDPX637
XrOsbetrZThL7JYe0PReM/5oN4WcPztLz7TGSNDzlD/butvoHvFBVvO7jFn1G3EbGjaJJ9jpk3uU
FdNhKjo4zdIDpgepcxO4BnCZRXi7wTc/ipUg+Da+KapiPiw80FHgom/HDeuaZX1r5sSdFfAgMmIn
ekuU35x15P53070Q9lM6+SCfBvPSpWI3Bs63miCIkPSYnOPfJo/YyJLHxK2+t95QPjglFyirPjdu
9sWEsASXJM/G3rgLtBCuUp/lI62baNnESb4dl/jGxF1ZLtL/5Ro6BmurQnDPTYoZmtYSHq1a4wqr
m/SHDLZ0gvbVEPYt8sCPOTW/d7E4dJHTb+auuusmS4TNyogVDIj1R+uZozx2lEnuHLN5l3mzOV7p
okwfVp6DzHNwGhJnQHglMaMEf5FoxbPzuXOC+8ZPvrkmLUTMlVSfY7f/A2wslVzEna/T4ymY8Wyq
xbybXSKcTOcgJnGhbN1tyACZke0PyGWT53habtCmPSeFHRObrj1XBb7RqhWkjubNDMI74ZYT79Zi
xeHo3Hgpk6aacHtqAJhaxwDaIMTF18lkYh039atDbURjvkGI1KFdxquoEh9zBr/V1Ou7md4nCTOF
pnjjmvxul1hBRsI2IFT17wNGgAPhSy9BlP3M59w+5Jp+aRYxHXnGbyceAKZtYOXJmWQTQY8h3Hh0
lgkRRc6l6c4TkAKCseTFayeUV7RHz2iRdU+Wd6H49hKTIwdCqCLLfrZF2JUmXdsmQHKbPdt1fzKL
AiAKaQdbUWtriISFjoKGyQ5Z2ramZll3nD69yt4F9UHCbF2ct6O1xXdYHoZy/VNo/jUHPYZykAn7
vPObq+vvjJxAcsQs4uj1RUe8YftD+PMPT2soG1M+yBuG2mXRj12pORfMCb0Ru1DUsIC2VJO7uf3t
ptH31e2JuyMELqyLW5H53i5GcM6cwUTx4QUtPm3nYkKM3NprfhWxifBuoUlbGt49UFbKf51Nv2GY
jv6EjGGt++9R7j8AoBw3+srq3Qj6CwlGLAFzuvTndsKLUlNmYTFNZlVGIk6fXrqm+RlDoHHXNN13
7VjdGN4lmNYfelFqIdWUYK9n4kJC0Y/YnhCV+9OW+t19pi8GKmEfLlOahTbcUMKCravLR5ZrxGGU
1LS2m/53hIP7bu1gdhnxz8m0xzdmKjjjverGSb3DFE0vHnPuLdbJhII3M7va4tB2+JE3UyPa73kE
7kFoXn43LJQcWm319z5/m0yD2wwOFe8l4A7gxI2h2XSnea2JSsqgiU2xj6XKNm/j3MuvFf0OFEQv
Pq11dzx5rSi/6zRdw1L7o2UmELaVKw7jTHxyENVPGqIofcCulfkz+gj64CQFY7ZyRvGcBPN8aJv+
PvA8ijZmcR0sDdpeIY2VIzOzYuBCoL3RfnOY0s6GxpOjYjVb8zv2SCpz3o8C/CSrTzAhryzJuvfM
Rey/zKN2jJzVCh08btCs0NCUlLxQqs/km5AXvIGWcuNbzjWomgdmd8ZW3GsrSGCyI9uD4VGF6fVS
Jp/BcXWT9tSjcqjmsbqtmuURuT6dASiBC2vPkDb5g0u6Jsi/b3BhWW0HmEmBu0AemnxtZ2pU2Nv6
/7B3JruRa2mSfpVG7ZngdA7JBmrjTtInuVxyjaENIUUoOM8zn74+eiSQ2Tezq9D73ggRdwpdOXmG
38w+Ux6M8l5rWXh1yFN9X16WMbuSkK28ZEzTbXKfN2vCQTeAl9BWeWrBpYZ1KGFJLR+Brn71Og1e
zcQliXvMF8uN1tFGRjMjdZftVzhqmT9E53jo1019mH0rJOJG1SLGYvq4PYwCFKPKyNq1PH9JFmZ3
hZoRt+Z8YPct7vDxLZoDPr42xGkHUtMYiYN3RcPjXhBiaoLfQbz8nlPTfMSfQT1WAmyn5yYZp2wK
69TKlNABrZg1QF0K0xWN8mzV1N+xMYglfI9EyNS92kz19KjNdu21uv4JPEuciHI8FCk9d1OZHDHV
dC60h40W1Ma9o1dfPBE5PvwhqKozWFsC76qWnguHEwXCUghir3sZBzAbc7/QFwsBbOwcd+xshWBb
vbh52bwmTneVNf0ydo0ol2MSRgnihC6zzyJLAS/06utcSkYAS625fUzLztDM8s6qOnfprJe2VjUc
4GXnSbVs902snww1Ae7NuMxQnC+nzMf3TP0oIzqF8Ei0+7kueh9SiLZfliFiaWqDPexFOXLNgeyR
Wm9GnT9bzJy9wGmntzWqPS1InEG8W3L9YywDAaggetGGmopabMP7xrJan6bT8ENrbODaeX6xcngT
IIT4IGx3bqJ9Eb8PHCtB5xI5V5jBLjI7MYMnc8AYYYFfUJHNhMoJdzIweq82UAlHm7S7pl8V1kju
h9pzEgTsRxUVDQF8r6jW0HRhlFbTGlvjTyKpIbc4N7+BaPR+KX+NFQTHvDIjkvpKyYiUo3+dX/qa
n1g3062go9/NHAvRkvY9PLCtAB6qDqTj86CiVrbsr52ufsx8c34wwDoxrfFXLiOaCXJ1fpSd9Ti0
rFv1VPtmA+BNyH4VQ8bmPtOsrT2f1EjvH2e9ZFSF6wyXk9+kMF6iZW+uYKdFLK4cdeL9MKTHMJ8P
oq38KhmAVI39m9NAnzb117YdwBhO1jOmlRe9658kvqq4avdhKvdhPuaHcFDTh2qgwjfhWHgUqvMU
VoN6Ig5zhvg43AuW1dKQygXtS1bnHEDMHZDHylWt+GBFClMynas0foTivSAHWeHVMtPWfpjy+oGj
du2OkXGwlVC7V1I13cUVe1Uev6bC0O9ypiaNCNQH3mEOwDX7FhvNtjUrThdrGZekJ7gTMHwFfaN6
lffuqDIrFxUFxuNlXLh1s7HO1QTErH4cMPdsJ7N+73/GK3elWOSHcEQM7SInG9xnT7Mu+LnF0BG4
p3vKQIVkzxgSRM6aXkTGXrx0xCtQzw63nwWLVZ6o20DM+mOjxX5SxFQJDikqBbBmW+HjafcycJ5T
6LFnB4khb3pqdCmst5oMO32qaF4PZS9OnOjYWsj+SY0/DnmkjswXqIFbNjXWjNQ4JUBT8RDhCkIR
rZMSNRWYCSIkbliNpS4S66XDSZvz7Ocs64/klljbY/JUIDTOiwP7EJIoqxMqAPIBZ3gezKj7SipN
c4k3+uUEFgKwGlBvrR3vRwcvOZD3ZJmfZcmDEhoj4SoulWaqf2czx9h0QZ6MFPkqkt99YnyPS3NX
WXTDTmSFPRuXJv8zDPXsGHrykkxQXjTr0QLxOGMUpiIUOm39ynwtP3ZG92pV2nCchLjE3ErRWnLj
QrjKM8bgV2rB4DULoRyAclFzN6affZ6WXi2uGtzDjHLpF3uxr1PQzAjrqn5X2dNBl6PJzRhOn9aU
P5c+4eqwpOF+sGxtC2eeeJ/Bp8Fxt3VoUQC99zlo0tUGegoq63Oyeubt2aejzfvJrh049UsO8x9r
4NAboHPjhS7gXjPAHMTCLZXkfsijraO3C2rDxVaDR36CvgyCBzy6NUXK3X7oA7cZF4DCoVZseX5T
N5u7ByVclSthzxyqq23vpOAhm/Gg0aAwz/BYLLv/VtK3GhpdYdmV30jjfkmn2OuX0sXzgeZiPDL7
fddqCKgWl8vW8OwpVlwnk/yp4qGwu+h9WpoRLOXKKckahGpu9TusfOE2F5PfxdV9Mi2/AMPy2szj
L/6HKLIyemUXNVcwKFfncVnC8QXByxfSBmLciXuBhDinsAxtkwutCIJrmls2w044gqxD9DfWDH3S
esfjc5Z1c0GtJbHXRVctDs92rZDINaZqawjr2EU4YfIk8fTYofY4bt+IIXnoHOMu7vmAFs4kKK3O
rhvWjsCiPiKukQYMyIpKi0EG3GOM+iEX/0luEoj/QZm1niZrGmkwxySWpMK9bsa9MtIyPOv1ZSij
dyQ/6cXxRwlaFpuNdckC8Vhr+h3wwWtfU2nAhO4sQmwMNPxWPk7iZ2f6SewM5Mys48sIsq2WcQOU
6tC5hiPJCmu8bwXbEc2gfWeseekZWAneJs6uGceidhy8EnbmRpkbv+eJ2DUq9eBG3VduZI3abrIz
7jWRDFzLAqfUwdeFlln6DE1scEpxehdE83trd+eyIORQ52R9wy7bZJ0kSAGfXOPaZU4TFpSsPGmy
a/0+hq2raeY9tGt0A/Sn7ZQ45TYq2o8+WluFHRyOGeJKIA9TgC8Jop8P9YBdE968WhWf69+NRyp6
G+tSK86Ji5fHaI867deE71wSqq4kE4lRwjfBnBONj1PXvqpIm0ukPJfdMN5llf6s7lvszH3UnDUD
qaJNKQPpScXiRr86cQ6gGRyhFqWJi/mJpqg68kM7H4CMlsA5QfBt5BAyme00xS3wfG6suTovPULA
egTWrZuWF7tczekAkBGiGLXZXK63xgzAUsZu1gvb76bhadI4JIWOqXqmmmEtVkHcZK1othqMUK8y
sTS1KTDaOW/Xj001IaTGisdQZQEK0J8h5Qx+EAO70fUnge3DYyZeu2VQnIOojdCLYOjGHLtyzd7o
WDWKAYPUmJYX6jnxVnK9H8NsudOD6ZTymWyFPfp2yATbKMbPcUZ2FibDmNaeysNglwdm325q2J5h
OABc6azeGlqxb7OU96zZ0zIJUN9ZKi/8EaTTWx9kqWckpsKZiIC3JFIZkXWQ4yks7HM0Ax1XrSig
BM1i27I6LEGTWnhJEly6QnyqLR+DiCkJWC8Nc80wuxF+ObTJZlbhaTZemjb9vdTuokbN6XVuPict
VaFyA6dLzRSorBpe+oTJrh1k3yYAe99Up19wy8yBq5qRDM4uC7kjG9XQP0qaBzBJ7Ut9DrwVfpog
wgxlsxYeF9vYygIc0MboWVLFdTRDucHkrZpiF3PicqM+Tvinq8FVbS0midBdMDPGB+AJHL7t2e2a
S2EwF+PNf9KNdXQTFXuMr6fesHdthqgwTLA7uX/cAAKJl5R8Z5aupLh4lqckaOudrF/6pZhBOVk0
xkUJg972rLbzi5OLF1qUK39Ouh2GAnewGBplwww7yfp0Spqnh69ulu8z6sMmNrHvjLF2zSiJ9cTM
XMSJ5VdkZ5obx3Xp9WX9GzPRBOjbzQoIDZngyF5zG7FK+jMmNtnkTAaptjW0urBV971D4WQsvQJ5
mZNWsYhPgLqzp7BJHBMUL6ihE6CosDgT5ed6yfsUrGzcNK1AZiW/CpIbzRha0M5RnRwOgRPbVcsc
1ONOfCg5Lr7O9blt5uFDRGLE6aRiszxwFnP4NZWvkyjpDEnvTGbyTJifCqd8NHq9vdMJexKHRbUO
yxQ8iMHlc21Smi3L3pc9jxPHLmor5qr8BCdab0pKUgSr10GJnV1v/E7sxDyp9LRHoav2ijiICuOm
zMEGxlgQWATwcqU6VbuRaO4ijPyLpv2Op2AlSPTPWOEZH0jrvTf7XZxL7UFTeuojBH7NIWQwbCAL
o+xTcYwkt2O+3sCLzrDA0OmhxqCzkW/VkCt3VLBJjeJHrsXjJdMfJ+eeWgD9jX2C/+9ETtSghdRm
LD0zFVuHqYqbKo3L0TOhnmREYtKSz7VKmcXSz8RtyWEhw3e2bLLEeO2GjwDJ8LSoTbabp/6Rpyjf
DV1My0hwlykNh1MQ2UmH0NRWwKTps7EbYGU197tN2sRvFsRkpctfmim/dMyJ/WIM/IJtxouQ87ah
JDExJ2c+gvoJZ9TDHMyUchMMgGJ2naV9HuriR2fZlI86zTYVkA+6lNQbzTGeokvkqBlHbFdlMwK+
4RKKxV8agFC3mp9tkqFOz1uO4UfREoCQtFaQ4lUehwleSFg5iN3g1abS8EWXj1uThsetXq43AxIV
uyIFzl3mkwdTwWJPdbMalYejkLOtguVMXFjbqybE1U6rebBV1r1Z7GcrXw55FHBY1QXD5Z41dcBw
uO2s8mtgwz8uNvRBxYlhlTPeNfXiDdhlymw7uOBGKTejGs17pgZtQ6NRBCbgxmtIJfMM6dgc7IHS
lHhfnO6itrwTBlgDUPgCaS3IfZxXX3k01LtUhwXc5JRbmPy4jYZxk85FHdCdAmY/kjR1RYl1TwU8
CWl4Kyl+Kne2KwYsEa/g7JjnIqkOpeWAixxg2MdCObd1/h2s9HZu0pP6g8om1Lllwkt7Ff08nBqr
6Q4KEbOmHDjf51Q9sbZ5sZEteLNsc59hjJkZ4AKhdksxaK6AHDjIRNxH3YCJkTkaWyoXuAJbHo/d
Jpt4LPMu85CAuI11nFwWdLN5Sq7V2vJutMGL3n7+I+GWZTMMtLi13DZGAY1MDitzJSCrWTXeidXz
V8TxITYzyC2J9r3MeeqF1JZsbrWIM3OqepbjQYH2C28+usffJn0M3AkwBbUhPaJnfraSCxqV5+Um
qA0YCENwhke1ps+K6ml2ECLNWVZHB+F0sJ0JEOKMKrdKzXBuil7N+MnStAVFPrgahPD8m8WzqCv4
/q2+F1B1uB7qzORXsyU7wYWSCeE71F5LQx92zLunI2/YmdEzw5Wuer51QQ4zhJVIbbFPjBcLisIu
CBiAb9qVo9uAhVqgzx9u306wZp1rfuumydPYEB1HwzHdfO1w/+P+vsX/4qG7Muyu/VsOUNHpcFKH
QAWQtMYEDWZ6mBGWgIZs0T/2YN12gkPAnODsqG1KhJz11cz5VOUcxVupETsy1+xyWOjCt5X6AsQI
H68a/6zscj+OvBxSEQARI2B8DrkWz3F+De1AgmvAMq7J/ZjEDCapOVpSHsQ2z68UexHb7VZTabn6
bmElf5ZqDk3QhjVPN5HjLvaQeATOfqxODGQa63lRQTfmOW7OLU1q5s4S5b6P8txrF+VDYwKBvFI8
dlogIEwVlsdre9anLkEW1T+KxVGP6EV8qcfyENcIxFHZumbIGQZ6ikZJS8rBS9iu1K+pWhEGMslM
Ihz++VKn0ZEXbtotNhVOYxq/ywLLq6beyy49jTNz7T6cjkms+ZOAGWnhOQn5Sx6Gx0tjRy+L9Qmr
dMDVgWWYqr+dAWOWhUscUk3/HSqDwzYLEnGtkNqaWcLHbNsJM7DahPhPeohWUQ6SQdp52AfLjSmw
bZMifTV0zdjVLHKOBU4Duo59DEAwHAlxuHphKRvb0LQtM6m16jaa5Vem66uFsagh5PJIdCHUSb2r
PrnivtmTNm3n3DqzAQKrVPv5WGao/HaZmH7d1Ves0xBBcuvqcB0Q3EjysaNaygZGVjDVnOfsxOS5
xu7E26dwtXlqp/J1iUj5jKXyLttJ5+4L1HzIPm/OYYvTxx+v88wQdWcmziMXBw5P86dI13BAt8BT
NXuaUaiNoB+enqN73NoFpsyu3iachcNwAX5Dryet8aNJQhEmIZ8btlMf7Bu1S2zRyFuaqxAkI/RE
7LMxsqfbW6UFTENGHSJxpUYncOsPBv9t7/ZY3lzPty8L7TBUflzCiRhEpzxaNTkTJuLqETh47uv2
/AqLjcDdxHxyrbVg6wn9WUTBUSFaqwU9VTZtrh17igQQbO5YtjEmr99tU+JeIfwXIkmoycmcwwhs
NrPxSY7r7jD/uOWMlRpa0Uh1VFeRJtjcwtBjUF8EsGG3LoP3wlDOgUzivcGaJIf8mpFP8LUbFiWL
6O+rhvDbKUb2ObCgYOgQoEeZ+wMZZDPRlX1Xr093Yv5pV75FrrsoNPfgm7aqRPwhiszALAx29WLi
vDTyg8N5isHctFWDftk4Qec6+3hNczf99IsBOfu+KJAY2dBvL2BosCTQqIOSqTCsjkNzGw7rIqen
T73We2sarU3ve03025beV5+Z2HWAFrZ1hgwwZ+3DtMB1XJErwweJ98pKuaP+Uxzq3xU9riWUlMSH
ZXH49Z//IWgUhd1M9MZgKqeReyHj9M9cwNAZey7mU4NDPfleqLZzE0FcuZCISTNB5w0hUPBLtjCP
GE90RiioZrP8dBjj7f7774V/6V++GdPQbKGb8AtNoYu/NGZm0TBLobblHtA+AyNBHU8251iOUvWs
E4blRuJGwHSpG64rRkHAhrXOIMCq2Qu+5TJ8LcunlFfrzoqBAK5OaEbN1ypK03vJpKwYWjcx54jp
0xR4Y2QXrqVHysXkOJnAaHVR64xjl+WdS7CgvQtMCxNlh9Kp0VO17ewEwmDBwWkEGhGDlbt2nW5i
jLuvgiD+jXL/pQ6qvdf0KsKXi9WILafnhUePVfMi2HZgsV9m4RMJoM8njdVHpYpZ3cdBHLIU1UCU
nO1NwfknzNg2Q7OxN3Rb+DyOyg96g4VRH8p1ijLWyr0+IRbm0QSksFLjt8XhaCmzwsM6QkIlCg+J
tIdDb3aHgH42UqzVu96M+V0YKeUpNrjY0FV4haBnHxlDECtoBu2+sHnOqyZmmRRT6w3GumMutnFR
V32xmII7J1HCV4YoWYhmzq3b8G2R3I8WeEEKQYDuQKPeZVmAoa1M7IMqygVVO3N2Okupx+Cn22F+
0PxSUd8zseRXRdhXoP7LuWQY7YLopsYproYH1qV2hz1rnUU3X7Qzh6cJt+/RIDhNJVem3DE5/MVW
oR1T8OfbNGGIOGo5jZaBsYutcbqzChZBmh+mM05BZZub4qKOdfk1RWm4sR/ZJYpPjAbA/qJoj2op
Ph1Mj3SlVK9xMIEkRKXE1UYHkhWkd5G5sNEzWixzXX/WFXJO2ZL8IHayt6rM9nC1dTgEzeUtd8pm
Czzjt1Hp+o5akfaOPMqMfzptXh2r+9DWFrpmYBQ2zpl6NqnNO5hB/tCvv0vkMDLsWH9Z8ECdDZ1e
Qrui0ozunKzmeaHUxSZqv1UnosVwo/TJvf2bt38HKhATI5hWf/5B1VIsEPXzvA8kUwnsZ+nR7CqO
+GTZ6NvQOZIKUPdQ4oxDJJzp2k5Nsze1lYbbMvKxX80E/0CBEB3ZFrWqobXgmc2ewNrX59KRqqtS
5cNbySx14SSFCySFpcZp5qkdT3iH8gc1t8inU9iFJD/fOc7obDKJeSzq5EFqdePrMJVrJdLZ2duW
ciamGOT14WaVjXnlvImrOrhAQs62PVH7bR7ppg+bmzgUP9gLqH04e2Nqn9WmSDiJU7gmGBZe8Z9T
TmY7ySEwWwTvgNTeUOhbrUqqSyp+1+Ewvtg4aQR5a69NmdLhzBSnOFH9LCD4ktqdxnaIw9eSCbPA
2fqyAVjsbX0w7wI4l60SVudpkOiY2uTHlTH6XdUQW+yBUdAwmbn8zBo/MCmQFQxyFDwVRIkWL5jk
BqkD3lph3CdSHY9GWULjLPtTYjS3GVPHHTGnJ6Zc6aTTOJ4sB1Mp4nTjYxhdUczLFyNemkchd+zU
udzbmR27xKjNPxHjn9P/Dr/Lf7dRrIDY/3OjsIQEcmuz1KvEYv+yUaSNpgeSnsw9jgLw6eQJTa1I
jqqeJ3di1AMuKOl3w3NMYibDMmDDSUX6B9dH1+adDnxaq7koFQUhErSW30wT/4dvUV+TsP/yLTrS
JMULb1f/615mQxgBN8G3OGmJQScvQY3RRsDD66Wf1Iz6rD7Pk++ApRxERA11Wud0Siz8YUhGV1Mf
s4LRe8T4cEsnfLcbmsk6S8xqcWmLLb4kjUE3ehUzQ9LlHOgZdZb6/7ALan8tXnZUWzVsx5G0CDiG
I+AF//OOXClY6dV5KrGNFfXZDMUDAbyN5PLhCqqAzm1+rMrhLmQNZIb1964xyeTPZ/UZ8bdXL2YD
uNaZPpGTcM2VNeyFMScT9t/v1//S+b1+p6au2g70YsP5l583MUQlKIMGJ3xC7aoOM8VtK1XudXt0
i7AmIdOOP6eweaw7u3nv5M9pRoq3ZEvZLdQ22w7yk4Sw507BoOzK3HkrauuUQw66szFxe03KVi+a
2uGAreubKci5sBSVOMJnx9iIALoBH2fshrHRXSfPdzp3irdATt/DclFme3qsqhAPdAaENHYkaVms
/mrHeCe1MEYw2Y+ZJu0bQLF/jlX/H6f9PFff//kfn7/yuHDjlp7En90/d9YbhqpzqPu/47Sfv4vi
u22/v//Nv/X3RL6t/U0KQH6Wrpk3mDYvyN9Z2o76N0MTBskNmyduTev/I5Ev/yZtJAebB9LUbsDs
//V3lrZh/s2xDek4cLbXsy4J+v+Hpntd1f/6hto6b6eG0KEZUqWz7C9LoUVdmRKNtHJFVLNtb4OI
W4ZxNI3u0KmvPTNR6EF6ReGAirFGqTGR/gOQdPvbSj6DebyBkW6/v3GSbr+6fbn9jdtfK3rqh6ae
DPp6wLrxhm7DFDUMwY7dfv/nl7bRHPTMwfkkA0nbeLApOAsdGYpSQ7T+6valjxFT8Bols6/UxmXl
R5KZaoGy3H45BkDpvdsvb9yr1EygdmqcYjalUBpf1hwUohF12WTD06cw9ci2vQou2MBxcUJydKXa
4TSCmZrQ8I+aylRhsxAN3Ux6oaFHFKd4AWKQt/WM/ELSxHR0ajHCT23q8IJN1UujYYGlkuyncjFM
9Uc+y+h+1pOjIMDvp+YS7COIYNu8N2kPq9j81eFhxMroZfNYbmcuoGCDGjcGYJD1obEl7a5SUJbs
VD2M99wqjnE4xaeus3yuPwFWxei9aozTPIVoLkwQNma5nK0wI95lYJHP2l1sdmJr7oDkgPgdX9Jo
iPy1ULAf0QnUkY7e3HxDEHtux27xcDKwtBBCyguKjLQ8p7Q5xspHeyuiJqWFtvNkhxrVLIRFt4tm
v3N931RVM3kiwME9q87dPOBM5Syr7NnWEy9uCaqXBPn8sWGozKTO4xydlOryokTXsUt+ZEyei5jh
uIk9E+oVDTMArEBp47y3HJNANgcQ3GdojtZ4p4fiKbc0c6/GDde7mBru3vQtLaMpLe7cTMta9nCI
uJQsn822mvamqf1WCkW6Raxje8yqByNt6kc9PQp6MuFG01I4SxpbsTn7UNMpgsHR4hYa/aaVslwt
Mix+RNkkK7OyizPnFHZgVqcGCFNvTJheOVin5TpT0uyahKH8Gtf/ipzPiDPvBW31+yrGCQja7oOh
SkwTJAOdNbK/PLUZ2uisTw9qQQoMShKOuXhcDa7mz7CTTLkNLkeZxWMTMDemblXfzXmzY0SdbTvq
CrnM7ZocdUZRxyuHLHoY6qCl6sGGaRPOXt4a/hThIJOpnYKJxjTQIRGqQ+wL/AcLDq6qkdNdDOnX
DR4dPT3QWuQW9jAgJYonPR6+sh5b5LyUOE6oStFwOSkIafQKUFbFKfwQGYuLJOhpAXNuA7g6EOn2
WjRj785TTFsYMzFF0IChtLyI3b6QRQsdPtNooBe4QmuNcA7NvapReNBrT+qyr03zV6yvs+k0F3tZ
qncccwsOLyAdphivim2QkCOlBM1jjD01lmh+HDfdop5R3GmCMeh85ilGamveB9GHcIJ3t2mrhrcr
SAvzpBFQ6rt59LWu1/A8ThsbTQfbCHxK0GceB+RdvIB7BJBMRLDZybWljwfoscSDUs1o8zRwAWQw
dG9ev7G6KM1tb3CcWKKwPeTmc67Jj9QKKl/zY6G6Y51/yJbqPtz1I6MY6q6xp8D6sb57YXV7acuF
jyMoXFM3S5er/FvGY7a3jKHdhjgaugXamELPX+BEo9dSGFU5Z81U+XjyjTN0jElFsUvUkjpAh4yL
ok/JjiEgs6hR+1XPhzBv3tG0BfcII9mzgOwyk1cj4k5dR8VFrn9IWee7ZRgxhVgw+enZVjWF3N7U
iIdeNX9lgjU1pLognh6mIe7u58yct0PThIfWeSIhGr62tAzxA4qn/UK/a8MzxoxS+ssqIkT6ahmL
w3k3JBa3uGIjHFTycVB/6im/y9XwM1S2TWziXUhj6GdroTYn8yC6ziGNhnrEyjmoOPYEhTMczcO2
4mmMDLpPApzMpnw1JozneGOoL6b5dTvZ0JxCZA87xEKlFBhJrMIqvWWsD7KjHYDBBBDXegxOETPP
YuQONs7SG0b7G1+Xyfhtzvazw3te0Tc9pB+ZhNiMyauwm/xdmL8hRJCMUDDJdKSgqGzjql39tstC
P9I4ulcarSe8mz2DmUhgJDcNOhimJWBdEudQvk2KFoeEEhwWjXWz/1XV4bLHxPWK2WVwp1QDSUFm
EOa9Q7HnZA2+zjJV0bgYZjMh7Csxwi3Zj35raxpQCcE1VocajiO24xqpkfVakq+lYnaXGp04BVw1
pf4xDPWHAZJsY2p965LswSRHry1u2OJrcsbPafarfE0oK9MFzQvzisoAPKpbuF6YGyB8zABtDpYe
/GBCOh7sqGeXibRDkEc7wbxsa3aFtc2MJdsr1HHsGiDzI/c09OElf1DAi2PIp3xV1QMvt/DoM/oG
CN6RPp5OrcYraUz4Y5ooeUSbGrbtK9pb6CucQYhaoImOxrybcF8fA1EjyAhnDy6z5BHepouBFyDC
8Ub30nOdsxct+hgQccepkFKnzTDstwip6s2pEocAR5tTovb6oX0bzIqSsflc9fhKbSDxVDS+caXA
wVrTFmLi5wTk8rtwpLJ1RNN4RVTT1sqmErbzZU6X50a2YGRkMt8NxM04NtTbWDPMa6jFXqLAQ8DW
dGKdvo8Z7/kMx14hL8jdrMp7JfHhiU4EkNVLnDQR7Tw1FrmSd6It2ngnTfrOFUAqAgW8ICi4Hl8g
ZpP7CfNTgtZhoXnw5ryrqwhSVwyMG3QRZ1VJbl9SDhJpm9iepV8rtBRlFVXw8XB8GAQWvlVySdBe
8lWEyVc5ply/GCg0AOMTrBf2eVrFG5GyqNMA9hjBpd/akfMBnjCnoZCbbAiaBmYsg18M7faGFuNn
dRWJImbl6iobjSgfyk1JqlZRKbSLT6hv2O5XwWn4oz2hQjGgGQgSrglLGR5iguWQyTbQRGs/cH4F
q5QFFQTftoMfZFqFLs4T+1FRvljzIVGghYXdIPywBr0pFXI3cnTgekuTPWuV0ZpVUDNXaS3DyKXH
8y4R7WMBrz9YRbgOeVLge1DX9RvSAVVlKzhaL9DOAEJejVV2G286JuUAuP4glbqj0VTH1LiiwIJk
XiXBZtUq1VUmLFbpbu2PyLu1uVPhzdtJdMUYfdEyEHlvxGom+8/GKkKy/p/HVZa0VoESge4YykjQ
FUoX9ipizqucCSMRnSjJ9H2JrtCtKEuwlLWvZ/a1aLvlYMRPc/QaNmuGYRVMb9+OREPlOYkOlpMj
q64Cq4bSGq2Sa9KQRJc6ydlVYMxXYTZ3kGgVhrvJjXY/c5L2+0nBeJoi6fb6yLpnbm7o5hBCMQZD
JGANLRjwDUwN3M8HworbehWMZa0FZJioiuxWOVldheUIVwQbA/jeGz47Dz5MVOhk4bAMly/EOPfK
/OGadwZDf8DcDFIorg43hBfL4wiugkkieYHUMhG60SkWqgb8rpHv9ioBtRAZ3cihwaRZpbISF7Fn
2flHHsM2XzLg/grATotzVMcNXoQkyoanPLG/x5j1IlLLezKbXPb1DDCC8TKRwaII8TmuyXgPZMuP
JGJBniYoDDHg1WVVlRwiMPwYgnptjuNszuukhdnr4vQa3ziySu68cw6M6CRJ7sqCyFtaMr3Th+8h
DRTMkMcgTMftrEa/uyk73QplK/W5snXjEHbGfDTXS4RZQnaVLe20NgO1vlzlyVK1tjhzSFwXzwIt
2CtUzmCIE9ZKT3lUalHvBK3Ewlbr/R+KfFZi4BoAFlRFOx9y50pgwDpCvbKOY/gzs+wZQXpBRquL
V8OguJhchObsmEfvY8VAg0fVII8g2p3Bxc3E9A18vPrBicLZiJzFxjLdDjUZwinDxCZfbDecipea
xdaXyCMVRoc4rp+GMYKg1VvDSbFRORdbO8xEq5ZMObZASjg9vGY14CdFtidmviAGED1poVHHaD6S
21MJnVe1S0rfPPZAGuManmsr+skrLHp0qzzTj+Q6rYNVvlFxMdGzSwL99lKbY/5Iehku3drxkKww
NB1gMmCzMsXlZ814ekvNt4YPstA87hW4zlwFvxT22V02dSwdUqH33EH5BZPN220nRD86fkTAdDnw
zbG9bxxQX31OZjlOz7T6xsf5AfBDDwmK/5xlhM9gSUBGJR35dKwehw6ur3LDTMmEUHRkvYaWoW0j
a2HBm3lIRH2SBZTWuthSicOf3VfmpuupWQox7WzK1nmtY43zwgpFvj3mc6TCDu1byojkD4sgY5RW
zA7n6i7RNUZbJCkMqh9x7XEQEtomrpbGpbtKHBuVI7VFhm5TQZhOs+EQmR95QfxKx2zm1vbvG8Dt
9kVVI05gDOcfx3zhGV3vrpjD/v4lq/rXoWwnf8SY8Oev1xJYkxENlXf7gpei2RSEve9UlTw8h3Rv
gRDPRtoebw0UQDQ1TwHNKwxCpk4MOGpSpjXuJjo3X4m4saQgJ1vw3G1SiZTKSELmZudHWT3R5lz/
F3vnsdy61l3rd7lt4y8spAU0boc5ipSo3EFJ2hJyznh6f8A+9j4+11Wu23eHBQZRlAisMOcY32g3
9Qu1SAHXSjUOQZGYv4/wABCOUDBao4FIF+C+yrWXwpNPATCwJgFnXHtds6vo+xOxwLbSKK5O6vlb
1Srkbiww+E1x01T4/n4zPxaHMME9BfvBHEZdZIl7sMLwIRUElPVDFpEndI/Rb+A3usOXQV2FnFHo
p2FG8NIis5y7QvG8rT91bDNHuqu6APKdlnVNiMAkp46y126Crg0GvNcuozMrAvV7QlDob3lDrSCJ
bD9dxKXPyYwtm63YXzz7mWTvTrOk8FnthgUJv/ONGrbkj6FL1SsrYdjIWMZO0UfzjTLeY7zB3TVN
a38e1mqW6FxDf+KnxyZ/TGvDIamBUBfs7R9wsryNcDWAipKTKgQqvB45RzGnoIMdo+6Y0ianIp/S
78ewg44KvZuTtntPQfCqUWJ1epXZxbc4cxLjOt8kivqpNtnNrOUEYxJPwK/oE1nuGuwcYvYwOGal
SbQCioptWWlkKGFsRdq2lUoxnn3OPLoEQL/0CM6WGhJ5H4fPESbZt57GI+3Ehk4Rqy8PJbcIPoy2
wTwcm9XRHd179IPylucsDeDs5T7tjgpO99V1AsZVP/5Vl8rWdVp473lD6BUSpJXVh8PaisCZ1awi
HhtfP5rSc/GgsjHotcw7ltr7iPzWjpzmjVbE5CvEPRjqL1UegunSXOKPiZ8/RipSitSLll1YkZ9m
q/3eNMzvuokffTVxdmajDptex07SsT3Dltk/0Dzej2n64aK9+4KUcaAo8DJoif5QAgxZmSH2N83T
/ENnt+Rkef0dRrRfqmPTTMP4t8hoWk0SrPYICGpv1po8t2qdbZxkwA8FIeMU5J+ii/VjfunjxHhg
B0LWJx6zTRk4EPwYEbNhzPehxs4XbTVWEq8B1eCxnhisFGhvB5eE3e2qLNJiF7lleUJ+7J48I3ww
u4+Brui7RpplrdbWOuz1R8uxPuyX2BPOHbOityprUzz6+GqSGvwAVjA2zn46nEDtVZsR5/1WDpVz
8jNYK2FFJGaZ6CvHS+S29XskRaZYtXk0bKX+U/pkWltm2G1HliNsQPBFxpX7mI0Dq1iVBUYIjelc
VNWw1musRL7dfcZKUF3MtHrxyWtbgmn4K7alQRm6omrJOnDC2CsTYnwIooTwsWqDoQ2uGDjPpTMN
/9HEG7QnPiW2jcf5IdZCw+FaxE5DXYubYWjaQ9jpqFC1UV01U42pnYq69XSjwAx2CKMhfbna6MM4
2YA4AWMIdZvQ8J6iplEOZet0O0/HFj6FCcwZG4NWXtnVd78f0uaia65ZTzUUgo0mCRKZb6BDYniy
ik1WF/ESBhVTvX+tgmwA38pTOjP9oZrTDFKftQLmcDQwGpbQ5azFnENI5hutr1aES1M1UElma7DN
JXQgUTnNix634o+ej8jsjQnzEs/zTidjWyMTH19Fj1q+50SxhPglAHxucRrtk9YikMHKnaPmVcss
AxPmOZRVXKFRbhnScJd7fHkt6BxWuQ4xAD07yqLZcsGk0PB8xg/livQdU79bCyQXxeS+sL7boRfH
wbCPKMEE5b8phaJr1nH24Hvhwce+SExT2CxCN3q0Rj1k80L1OKD/uNBdEa3yrLiEBb+rLZBb8HVd
Pc1z1y1dyyX2d/fM2QpTnc4Rux5t5UOlgLluj/7FrteEQrfbDKa4Z8dwROGCUj7qcI1NQ413bXR5
hdlHqhC+8rjQtL0M5UPkhT8UtaIt33fUE9fnq+U6HgOfdK0WymWyY8/moWBriPylzbgo+QoWpUJs
ZjCk2tquxLApw6c40L9p16dsjki97Dz/g338BYXdNnKAD/qVW29KnJsaxUWGx3bTF0zRqIPcBd9S
JPQdQQEhZu6wXeum28MH7zvQfBpjuT1gsQn4Z8uRMGugFw78+ImobcIkxIZv4AJsRvmJnnhfO/Ep
KYaOlgZ/vjO+mJ08hNG60ProUjiESpeWMFd55RcLNVvlFHlX/GYWN5HFTzfTGDaOR0SLQE6bEcPI
xA2Kc9wBAdXrCrV3XOj5SYuwl0glFJcpBz3RFE5QO4DdTrFXGAzlloaxA8SKFznF2aJWGkP47sGl
+VPoeE8/AMBs8h50jkkmPDplNYY1Xo+YqaGw65OdvVZuFPpvWJzpv+TiFR9Gvp+WsVhFVHbXi1Aj
ADQZg1ePVdFDhZmCFk1I9Rxv+jliORjE3o2NQKifa+jjVMX9WzVOfCWXGY/sBjh4yaOleWfJmrit
av/cT190MRjFSeLahZ25MCztSxb2uJH1c4rBbBEn8onWz7NpVCAcGwPtTx2f0c6gXrDQqVJuvisQ
GNJYwMlihoKce1fiNRfaDog+OD1ms1SBF4c90i5xrYSB3CtieLTteCMspJk5YxazWklwCdHeExaC
AEdMn7bAkIXI3FdCd4dF4kHTaAgExDqvVfAIo7DOGPAWVYUCKU7y8pBU3QIRswv//9zATUK5Voq1
StdEdbt2NVhGuhpAPtCaNteKCRJEhWJqQLvC766jx9S/Faf+pWs+EZVZvvSULGZh/Ob5V7/xXKyN
mLU0EtlVlgcIcEhcck1J8Ri7Cr/7JBIIcRgs15IQhQULaYQvtcqg4h5spXw3S+On/0rpEi5ijBrK
oJqnxPNf0vCLnapP8a6O1sTdoZyMV6qlsWUjcjGAQTA6VK0MZdMnFcpkgxNEjrcCdhT7JbhlngHX
B5NbU3OldZa7HK3XUHQd5QF9U1eDDnXKK1dNbB3yyFqpeTZsWnS/zMAAejxVFyuXMktZ8Kck4arU
XjNE6eRW609GrX0Gepqvi47wCn/MntOEUjkpZ9EiEP6xbMpsUwP0WsC1gksioPtBJRo2HrTnRd4Y
j27glDtXwpwCUhUZDeqzcEyR97D4gTKw8cOBVnyQfngCZkhu4vH1S6TQdE6WoniQFEY6Vj0VWrWN
RQL4ImDCMmgPBfluTLMWsYryoKpuffMNcuYH5y0FcELVzcdMyJBe+dYdLqEfLyS0AKgrGFuU7mzQ
QnpG6aTLYQUVehVxPZMLTcasPaoBz25MT2GtRWDeOurGDnGqa0vP4KxlZrnohAOgsDVCJA3KZwWW
CH8k1sDK24RTDJrsici1SxJQZYuBV/niYl/ho+JrTHuiVkGTMWwCuNIuenJsBVdaET6Rl4Bwosyz
LXprFBtY72RcB8RlwgAHOuKlRC8E/VTAi0jVyQDqOdgLu3jDmuZSYRkq49Jaqjo8A6s8Y8cAQyii
W5HrP1o57uis8fll99bJWuI5dJp9UsRn/5HgWUbDI3pQOkAFqCLp8BatnxdnV+kWlRK/ozlgsRLU
LzQRwPDq2iWkOIiiWTkWmB8XxtjaSx3aRhzXl96HicgEnyzJRZCbcZ2TCYGcWlNWXPVl6VsYOFJ9
3ac6ncEi27Sx8wUJgv/MmFtnLxz3SDFOAqH6ylUQyTvlQhY52wG0jHXEPFERZkvHhsHF1Ag7qEC/
EVVZsQdS5dq2bKiqbrNmW85ZmC6bWL5T3QRqlJYbZIWLvttL4aiPQSZpB0GX0adFoqd/BUBy4Xup
e8aa1dgne0ulR+RIb23/kluRJipSajJVlXAqGcFxBUW28FUVv1D4QYet2AQ1pACq9+bKUMJbmUXW
wpTRQztwiqk9DbuUS5q44yFdxzla9CgFh4ry+tGQ2SFJynCiA/S4GuhA+rm6SlA1cHX5DKrSzjYI
cgOYpiN9o4NXyg3JjwgwhymhhuV60eNy8cRrEQPCjjULu3krzgENzi5OP4yv0Iz1Oy1v35SmDBYl
rPU9CaDLsZN4jUgOwHpbZWuzty14ktUPYwzOAxX/IOCQY+3RXegZM7aipfLqj83aTpxPPE9HOdIK
hk5Jtce+o5drbcRUOsxaI4ttTL0QUN1pjfvnRirqX4FH/3jsz11lFLhe2Y55yyKFbzKLl9M5imo+
DOaAKqoIxZIWDlj0OS6SmS37jSf/2+tLV6P/ncRP+fzj82v+dvj77SZtdDYVEyyNy2OmVwNQvYhR
jHTxeHK+mX/2z93fH0KfUNd/nv791n/uz0e/Hxy6XF17YmSodsMOPSY/OAcozXFGnRmibJh/tYAK
skvwVWBw1Z7UUUc956npxvDqL4piw66p84icWnweKavrNWS4L9Lmdm37gsmQ2VAPsBDACYWqhq8i
fQvHbnj3Y4ZpX8qTrTXmTtFGKlbTrgR9I6uhfx6mRVIdChDQ65rwFRDDvHD63uab0LZQhMyHqA5I
5JoPfYywtHmmV1WqDA8ECsRua+yzKV+EB//2/Px+cg5Smp+Kp982H803lhb+xzv9ftDAlE/wGStn
5uA/r/vzsX6/15/7/91r/rvHDKW297LazllQ5hQN1VFqXEhjAL8z3Z2jyGZP0Xx3Ppof+3N3fmx+
g/noz4v/8bP/uDu/LmkyaDY63wWw69U/Y97+pKTNnojf2W/zg3pesuf48zwwKmIc5my4+cH5/nxk
Fex+Gns/+5/KhlOafjVdBBfM+l+H81PzjYmHWimU/Z8f/8evmO/qaqf/Fuj9rwrtf1ShCeN/UKH1
H9V/VaDNP/GXAs3R/8Viz7ZVdjOwlchd+U8FGgqzf1m6pknVFhrKL+1vmTDWvwzHgp6OpMn5rwo0
zfwX5CjTQNGp2tJ21P+vTBjqSujc/q50FYK0GtQ3Em+bapEcNSnUvj4egtSr/u//Ef+m1orSFhnT
qhGW7c6q2lsxYcJrj2VOJlnIOzqGSjd/SDymM2eEpdk4VJlIXRp4iRaTlOWOGSA+e2PadN/M5KPE
wkL5RO4g0G18tX10DEEnxvHvaW7eCEc/lcSNYKo0l27rNwCWjKdIsbJlpGJbJmv+IwXLoLBkKYZi
1QfaxRIsBAJxECEdFLyEu5LVimyqlzGN2H766SnK7ZAAOCASenVnkv6xBNHA3sbpkYoU+jWGgr9O
q3Hb2ZCo+/qoNbW38saRJv1XiEdqY5H9suhKCcEam4oU2gpMNosmAdha7suAFaCEkrK2o3GL6+Y5
ofgMugU+lpNuFSV4rOBfkTUGmbEJJ+9CB42WPJKt6g3LvEk2tlu94xzfNKVxamAqI2Pz95bk/7HU
O4I8BFK/Vg5sF4vkmHUKH0ADF4EBSTsnyaAeJWCl+Z7RF9p5PhJQSfaxqp5Rhou7kf0yNVDc21nk
gbnVjOqElYvGvaLjR+1HIlgsR7mkJkEArj56VxS92zTrxtM4MFOVMRU92tjqFbAoMXYMf7/vNplb
XAEARmrgbHRtANxiktguWyq1mQSKTuvKh3brvnhuqlxUB9xj47FRkIrtXuYbWADKJdcyYPefidNL
xBSy1hZ2bI13pHU0pPRp25zQEW2hlsVacfmWwwDDxFJPcmsxRlUG4zwDXUhHxD/meAiWWEs1nDBT
0gJLv1M5wD6hjA+ptJcnp8tKhkvMI0Hc+ldCJoK7oItBRDUxSBK/aTC1av027tIrxgPlbEUDGvwh
8Ldk2VSrRpr1LS1N454OPsHlviHKJ1XJuFHfPX10b/MdDVuc0WXtVZqE6Hah9dQmoLRhnb6yfI3B
eFFOi6wqfB1zFeexalIQrfTXPquGRxcET0vWI/xw8Gw9cUL3LTEPh6xI+zX7nw69ptpQiKjuILIr
34WlcAL3+V1bCAMvoJ2tcchTFUwb81EDUONYZMtjAAgQP2i3XsmGX3YBU6qjy7DIUso8iuW/ZR2X
ODaaMqKNizXDevC7KHwXZOuxgcps8ttYziO/8zdVZ2HegJ9B8nrt7Qq+53sYT7C0I9t8t0dvn9Ma
/aRuv3TRpDh93T1VMht3YCeVjV3p1Ws04kVwLe1CQalB4ljq214xXdKSOu85imwDSQu4A3vSKYFd
IuLV9FT2dTzrANQC7wnAzoBZEOXN8CIr8TLAALtWBlWgvqzAorug30zIWr+SD0XgNI5A8aAxKo5x
0jp3VY8qyxMW0Is+sE8UQIIlVfz80bearRnyq+OKUEFKNu2j7ZYk07Tak6MZZ5q53kcykREwzo7X
TKjD2Y98wtsStJo2F9uRDZw89CCRGSic/pYpXX9LNW3XmA7OqgpMSTg93vntuK6DQaznV8iqdHZl
ixsdecaylclwH5WyvzeNujvj2j78eYjvMiLJMDgGlkVHo0/zFzXXkYPZmbKe78LUAQDju3yqhK4E
yN8XU0QXN4uqe9Rz0dOQgRmMuneQPOOZpMf0sUrjuwAQ+2W+13sdJkGf1EfqzTQwe/uREYg1Kkbp
E7Vv9QUF2MouTfNx6LvmWprOs4koVKJSJchIi+8BhWyxSCIusgYTt3mcAKvp47NCJSfTGzZOnkZ3
JqcfAp760dB0kjMDW24y6Zq33LBw6MZu8U1loKFrcWoLiT9QyR1iFKP0nLJBufD9sQ9sW6xIeM12
qpM9e4ZS3ZRUJMeG6ZIsmyDfyDwPJnfQxUNQ+cu2xcWOVeWrp2Bl7WPpDS+KkZqHxiFjcr67ylrf
WJVNoe3LypCv8VRb9EX0YjiOw/YJBRnbF/u1c8ZqqXJ6LZAO6KiPvey1WTPll6/EibpH8tULNHz1
T6twPWmWuORd0j5bik4sciCSfdm6GNsdsBuGp7j3qQBs7FT06d1aypXdFsa1HKp02apcwkUKZbdx
knTVNqW7sww/fwbSgPBDEhXRB+mdm+UOuDXkc74nvQMfOXySZsxCPB5eNdcpNwRiBbdEzZp7u00m
+Il/K0ikWYBeyndmRglNC+tTVNjt1YhyFJp22LyUpkKhJEtR5jTBU1+V8CJkWu3zIgietLKg4Kzy
F83P0rOREfx8Kk97z1MbMN6yHK+Q8+4x0DbH349Nd9M2zNZ5oj67aMTO9nQzH3UpnwfLor+u+6g9
9lJjMzsdRTFhDNGYU9T13X6te8y+PZEMzA2VtbIDMAYYOXJKYRRgE/joV1xwOxlVP0JVxdZpGwgD
BrzvlmAPDeLFISCwZyPQLZIbYCBWduydjtxjyYmPu7940y3R7aPA2/mxSvUlCzaDEjKxd2iztVK6
pxxfmEjr8E6jWFdeE2Qp9wqjLKT/SGwU61uMLIgMJoVtokLDiLQKVn2Uw/QI1FvnwskR4YRo0V16
0XbpbLIo3+t68eY5CT7GVsPwF3U7sys/GYSBZQF7ungDYWBW1rwUMgrPrdF/GIWzNBrkXdJkfiB3
XS7z4Ra0Mc63Fp/0xNZpI2TH0jBqHI5fcggfx7BgRKUHqfjUZEoImSAzOSigbrLNaEp1Ra8fcHUt
rpRF6ahr7S+9H/YxQSsL5N3BplbMYpEZxLISEUzkqVG9johtgc/iaFJjbSMtmIgERrkL34dA4cCt
rQjX42p9VmoT56a+dkwdYb6XrJ3AedYL7UskyrmW6h2JdcQCGm927m87Yd9jNULvEXffsoHfSi8G
FmtgPXlN9RxJc1thTNgWTUQa8fANxJZKDqj3pu5fTDf/ajOrxUpLHJz+KfVOrNRBXeG9XXS+f++N
WbMwN2qntmu3dd8zBxxa+qshiElG0BCISqm2XuNSgy7FFlPuZugohJr0kpdt4E2SWOC4iXkPx5i2
2heKwNfRQHUXt9t0wMmFPOnkivhQwKykui9eslq9Ift4QHPvbEhlMqT601mLrhue3UFfEycBCoQk
F005eG19cUd6foNccTatR9Z/Y3vtK3uJrpW0eV95aHUFmnx1r3rqvqJCFSoWNBasU4zEsKb7R8RI
iF2xUC4iIs0XflNB3xrxWvakqMUPyK4etWBMYEWIKVy5WHH1I1O2qVJ0gb+xNS7JMtwXmlkt9FBF
w5dwZesW6hJ95RnFU4Z9pHaY63Ua5sWlmLp0pV+dWD9F+I5hmtFIgYhAsb4j4gIq8YrIXOJptYWj
ugVCaHmpnJxCvA5aL3WPWsHRtOwOVAaYxHs1Gze9i532DfLwMRtJU67VfFspw6PK9QhTCpipIckm
1MZTlxfUGgsuREcVOCfNSWg1XMWA0FQPoxSztQsMm6+n9JvbECXHRA0RDNhquRx0NP5uCX60Hwh9
tUnzGj31Wc1wawJAXhAZEKyJrnsbCygzFXS4urIxLQZIVx0olWHVPleJ/kZeLfIdYb6hab7TGzpF
gx0F2N6/C4NrRFeKrzYPqNdCXVpaTzJx3uEhfob2L2aAK91zPmoemMAaF2S+/tjJ8EnDB4JTVS9V
Yl6WftBco8rsmCetVaAMH61uPw/C+G6t7nsIipORY5ZCxptkyclIwbFUfOVm7H/5ZnBfwwDGdZN/
iMzKTtIfmL4QfqvMRW2Qv1sh5zLzwNY2+13mg/mN21e6pFNF+aGyiMzLnftYG65ZRl98SPo31W7O
GZmJRqEcWRohPy/9XwAXaFRwAiYGeFDUa5u2CcsFdeNLGVlHCEFr5EuWQpVNxivyH65uigauK1NO
ktFsFjqNuk7prooIr2FuvGP3vHrMv5aS+osMbDQ63ObkVcauaHV/XQXBEp19WCbXFnjvluYjMoUU
gAbgWiAiDFk+JW0wcEqDE70g6iG3340IJRnmm+/G7qpFSe5zhcQ3Cdc+UNoliwYb7poV7fQuuFQx
wEpLtFd7aBZZXL67FOYz0hUwSIpiGVfVJu2Dc1O0PR4aQVQqMFJhFCp0XhO3QvaBhrDZGzQdAMAr
5h37fcqEecl6A7q3YbE/Fjb/A2fs/bMRTqTsyr/K0qX+Xf5AOdMXDeFgJDvi+jXsL+8hvNmNfiNm
LHiMMv3FxdULxiZXVooLP8eskg2rrAoaD6cUCGP0/lp6MYr6RfhGfMLeCH8sGKINFJS+XBVs5Wj5
dgCPQvVBiR8DLDELgE4G4VU4hZv2ws7PWHkDo4nXwnsrnOAA98ChQwi8BDaduVV6pO4NIn+/DihR
2+kFAAKaaQcFOwiwY8S3dlT4S+ls7klP8mCGxBeYitqqIKCq62zot2qysWAKs2gpaTyqNGVshv6l
rvTvVimbPftEQix8d+LTJLvSjN6CMNMOZcIuPq3UX6KGtJ/Dg191sJKZa2gqacmwiUVdvFZJualB
Gg9s/G+0jCcbmfWh6Xq39DLGvndTQRlP7ui4q7EDM9jRJix0VJFZIO/hVtM1S+1lUdoP1tRB9Er9
WdUspssy1hZKaZFQYV8qM70fXAZ48svPVaO0awBpNsXVI9ihFQX5GrGIwQY9HwjHdQe6FE6wKp3g
1YyJJynNDrSA+uMPiN+bOkh3eZR4a1EYbKw9Z1M1qDVKSKIAb3wEa3/uzw+CwHyBxSbX8+NdQuyn
VQ3/7+vmp0M1OLAbK7bzj5YxZ3dAMeIfbzk/qbqsCI1ePc1vOT/UFTggCommlkLz0tW99Kii1oH+
mTEsd4RGmPuuzO7CgUJS2n37CYvZelBfKXicg32lqIgTFTIhq/pi1OXepuxD7wQpU2O9mtibonz8
luHwXehYRBqE9JWjAwzvvsfIZSTI/EcmsSPc18KpewRarBWwNkDSNbTvYSDbzSb2NhfnbAgQUf4a
R1pdYCRA6ZriVOTWygjQSNCiVZeyRntekeHFyIlcL5pu2gGp3nw0YtxftB1cNK2Rza7pAEJNT843
fl0nm7Ezn4qIuM5WCz7QklkHtY53bWegisol0nf0PL1Wk2KTkUqrGp66oldF7V5rgF3bNhLn+X7O
Hv+QN7uoju8zU6ho3xDe0fPpFi7VpMHx/UM0ITmQZWT0z5OX2Bj9zShxXRZ4eugdhO+j7deLFhj2
UW11XFvTjfafRxb1P5ZSHhdxn0RHmxylPU2PBdmxtzihrF7pd4o0f2kWNTj1Vmvec9wRHBQlqzoQ
Z3wVXwhIniQqNcAMptbfJWQkRsmp01VA9EiMBZowsut00cH9MbSTpxRrg/ad1qirgFzToC/Yz6xi
n00P5wabFGwnJChlNJImy1BisNWXwf0s3x6adW2RWOIo74XwmBlkehf0zq98sPcBISHTEsE0Wc6W
4Fqd+B78zVGmk7LqvocRmqfFnRLQHw4oeqjKe40Ih9ofS3zE5Ej1isZ/FyNEDFgCJGN6LTU69Atq
WVNsUK926gBVe0gjzd3pTXfn4DkFuMBCKt6MlXFsNzbs70Wk5CfMXtukRxHVFIJ5X7tobnghSAiy
WdgQ7ZR225YNNT3aiD9TcgYTR/SYNRQus/hgsouy48dhoGWNaPBFKOS/KiH7i/7gaBdDllOiZ/3p
2vSfSoiLK2AgVw2AvgpOwtDznygfYAkqB3uwqyNAr4NpURGw8cW3vZPd5Qz8i55VCxrRvZb2wyLO
23xfmcm6t8EL1s2pSNynLJ/gG0aE8kkSLZ9fBrDm29J4G1z3phDisWRqOmThtTFRqtYVSSw+QErW
jQLkGzCrFBciJpZNlyUvbkO+mdBRwANoWJZ+8Jgb2yaRk6SKXQALDk59gCB5eRtZ7i9sp4YzZ6EB
qIzhCaE440hb4tQo3nzKDjaIC3ZMoLyrL4MI0hp/DEqg8CvMJiN/xIo1GkCxdmcjit97tykPesXJ
mXrl2ujyXW35ZA3mGJkz1/81DHpzFxisHnX6zdHE4LKdFzKeyoXbNI8h5ElpQRA00o52bbAM6/i7
s6oXYSAnj8avGpUwEqmIlq8mGRncDk/OLdYmdACYTOJSh6WpKk/2xJolDRl6WEPmElBxNYBmEzwk
Ur0gN16kNcGLHnR6Ub8aRkVgz0sjA2w9YIGaYq/GxkMIHWypSnHXoexYxgXkMLs1f0pFPyvCXWdF
eMkKAC+JewaoJxajPujUUO7Qdn0XY/DmhVddFC9oJ8hgyZOE1aSFwdFiRDPNGrGJf3Ja13sDf/kl
rGivV8qJqJaL6z0TO3Wvt6xCbLjbue3eAw91Vh5LEXh7t6JSXwwzPJp9evM0ULkxZrM4Oo4oDatS
YtQo90adfUTFEC3UwMXOqaNJr6PmzTccBICj8emGVrLAxkBsmJk9+n50S8b8x2eg0MbiJ0cQhHrk
PlYZc6Q49UC2KWF+jkH/6TIoCJH82I44101+AGn6PoT5ezM67DHLVWWk2TLPqP23Iksg+TCsRCPK
GJI530qjD3fOOD5WtrihXzZcuG628oRf7h4453vuErFaTf7gjuYpHxBCTk/49PDUJLVN3FVGyB5L
VTdPf2qlxguOEEF39aeSKaDxxMVwaBiidl6IAcT7KDdDwFYwHL0zU9+Gatt9jKRGMb80prAciyBn
8Jsu7hpWb9aQ3mVjt6977x6F94NlsCgDB+8CELaheFtddMW30vGnKJe+Tg6ViYARiCVMvQmDKm9F
aAEMJn5A73AnujbVafHWqc6D72OptgNtLVkbqh7arq7AtChj/twsHvlvQ19eagMr6HgNsRYtQ9bf
T//iJskfnRhKusWIEFn+Rqv9L4V92Qp2LMsc/gSfLragplylq3oQGKpCcs96ce4s7qQCOvtYMnom
BJaZcXK1g6+2MoezEfiYUUzlNQ7iNz0gOAIuP4FN0XPpAaLsnro0A5qTBJf5QqpjTv38h8XHUxLg
F/V6LJs14p3CvhZWQSjM4FBtVzRtKVXB/qNUYCb3L7ACYrpYrNkJYllQkWKajMazBnmf0uiJ9hjv
1RKxxBnDjF4s0a+UW79RP10/x0ntX4kL/sRywyDvFFdP1Fz36MkGYNfLWOMfWIZUsKftNm4fJI2e
OFm5SkEwcu749vcY7YKl7VEOUXp8yR7J4U3EH+jZoFSZO5aWtMqVaz6ZhfXemwXVHfHk+hQ42u6H
Ne5zE99MfGKbYLBXbmcRgTF9T64O3Ym2E/NKYCurpvc91pED2F+DQSHCTtlZKhIxexP1w4OX8/vj
pm026L+YUDXtM0EevCBZOxxM92w2zVNHHlFSqcXdiExzV2OJwRt31OIJlWux0Z7ECMAkTUqurEsr
ik+qvfBbQdMN5ir6BpwcGq3DFMRXoIm3UXwgxHkeaMEQt4qi1JlGyKJ6wxbyYekA4uzOX1tJK052
zDo0thMNDzIfr8/MmnG0hunC3Nr2KXV3zUBzN6K0qSvkL1IsaXttrAbmYokonoYI9hMK3B6VNszz
eY32OEB0KxUf2vxQT6XXyIZ5b6O6kWIBYfOpbHQAiCVsw9p5GdVhq3f1V1PYxqI3RvhdpneRsXNf
aVRJa/1WF/1Lrjt3rUcvIy6UVyq2pgqZtvezdIctjwBCP2CeZUILguEzAHIbjAUxsVH5M1ojxqaW
PSt9vuXQa/CtJBNB54Ro0kxn7waflO0ll9A4OXWXqa69VVM1hWnjV2/DS08kXxwUuvVIMrAn5MPC
qlAX4rh79o0G7CMfoPVVuYCkQA3JadYiybwTYLQV0nai7rKpu9kSGVck8C/xl25q4XyxvHnyRna5
UEFXXjO2rEmGn96vv4jo3dQQ0BYkyZFNK9CguQRPp1PgUN08C4f9E2F3fbLm6z1Kj3rSkHUXJYOw
17QTIaAB0FVGT+D+KEYBadyS1yatoj+2KvHGYKsAmSewqRCk+s9qrnmUQTxnTYcNB331YYwWgedt
c5BueyZHDHWkDbiy9nvKa9WG4XkKKGCfTg/qYFfwMpT+USVdW3qMeTDAF+THYcl28g8DgpqAZlcn
PUWs9hvY3Za+ykskQm0B2OSJkIthExTohFs/JHABvkOkjoRyDXdDVn2n2PQ2CvwGgzq/yJ9FTV/a
CkgS7oLgMz/2VQL3tFXBGqAtDC9WQlJpNNjfTWVT/6evl1KuVpRpBEgMWtDdmo+WEImTlP9O2Hkt
Nw4sW/aLEAFvXukpipS3LxVSqxseBVMomK+/C+q4ozMdZ2JeFBJFEjQwWZl7r73SuvTRnKF5XFBD
lR29+COfeBvrj6qf0hUx6JG1uI+d3kQtb267LrhjQfuYiOHDzgn6mhSEekIn9sp03loIt3uh+nit
x/a9K+hvAeVGBDwiPsdpxsXJuvEYFBL2Uq9BVSGMNfIzFMEdGF7g/eyTOdOUrS24pFOy14cuiBji
tD4laBEe6rm7mnoSEku9UCTI6HFNVjABrJHeId7eJNYjQ/C/QTD91TAyWw9V9hiQjbGy6QSs28rg
zE4TkC3bTAQ2sFVgBhvduycSWEsOhbEp7G0UQPW02vkZfxHRgL1twuJCLulX0OV7c/zVB9zklfZt
2CfZOhyvYiYvGxpj3DreK6+fQUAjM0jkSUfdYdGjrwRZrmvLgnNdoqavbQNNq5zvsZyIzWTNcAsb
glzt0C83QNIXUQHFpPciAufOHQEYiJQuYWhh3wiqN0koRdQ/96R/EkQZTdCfhXVyWlSJAWlCdk9t
+xjU6IY1J5irci4unB52KWN9/yIKjmQmT84hCwziw2PXxGeiHZy8XGRqv524/li/UxZ/64RMoyTy
dq1EIQRUYyiLYz5N18nQDQTBzsW2cP3jEHGJy6r2SC19J3uGPdmQnA2HaUNajOQikLJtFuYxLiyU
pyFlCLQ2BK+g5KNO7I0+Ry7upPC/KBHcdtyFuifra+FWZqSmctAZr7INMOeJHGrOpiPKlwREcKYx
DRV4c9YW97Z9pQuN+zqfORdJ/C2Tmj6BeMznwtQ44yVS6vIefM68bozgLPp8ZEjLgQFhR0q47pVI
H0Q/UHgAZ6E9u0RDebgW4DGkSb7LmE6uVNvfs47d9aZJBnLGpFZXQXGlK7mf06vOrm69isFCzTqb
YPbiftBx9CLUFT0cWXvGF9257az8faHRh09cZtyouxE2uBUcEOme7X1gfuSsCYBVIR4HH4nW1dHV
p5kRRdWBG56TgHOsAf17oiPixtnFgzHBJfSeWJ6jBjC58RT5F6Mr5SrzqTcFwIA1j6LZFvxC/1Nh
AStzzuoAACyuUb7s7K20BUMHOj4D88g4sD4rI+5OfW3cQGc/oRN8CieTmTtI9RsjW3ttsat5S4dY
xgnungAmb+EyP6AdgjTimDfgEHHYA1Qob8GjXztBCumdKZGputuyzRl1kCNi4Qvi6tBgqtAqZrjE
iqkN5u2cJw9OWJFRGhOzS9KQeReKmFGi4Tw1kbzXicKWA6eAs5jzlIpmN7tzt3IZOh61hZO1jfAF
0PPfmR1IVFHNt4VxQd1X7dnvzk5uXBAVoPwY24s9a/oSrOEQ76TNlTcbH02SPYWvNPRPhfE8uNPR
kSz3htgDux5x6TF/O4PGbNYVz4h2v3tBTBx67BkQBmoUQsgb7jQpFaso55ucnZHKNSz9resbjAed
4UXbxAYget7hemsQt8yHbKrvyCO1V0kcVZu8hOTiSD+kjxReFtf6DoIhSI8qOZdtEZCkFZxigLeg
I8AYif4tRT20n4hEYjcXNCrOppG80R1kJaJaCI9LSOhC5lZhtXZbkhWb3L0UZA4OxEp3oX8gPxeL
P8NlAxsLuFll08nmcntC52qt605/+tI1Vp7b4IrUr5zba+aT+Ku6EL5zkKWr0jHDbRn1ZxKHhN4M
bXIQ5K+z5qX+zXvwg4VsqA63U5+ypKIp3zhwWZhZYvqzmY1GuStI0+SM7UG5aTWNb89HX98IMV1I
rw+4ZpensYY/lfdIQpGaHNyg+xNbGW2u/A9CeLLc+EZC7TuEGaRX6L3RRVS7IHE/J8IcIs+4sq1s
KyZ80cTbPymZPWQubctkyHD+Dk8k+a1trd6n9EN55BkW6FC2yPQ3hEujua2qYisnEmLg4yxfU3av
nNLfl+h/wEVh8Yw2Fd8ay/3yIXdHONYzbnYtg5h4k/zLTpjymL58FGI8IJt46xm/r7qcE1HUdB9z
lhyopM1gDlBva+bdUv5hUPWMSphTOduna4sHvX8OrPHcTaHYiYl23aCRo1cSTktafPgT7pPMt0+R
bX4Jv6Kipfanvg0ftb9PtOPvZDbcTlOzpBRA8U+TA8Kafito4oL/trt9mHdfuTXkLD6pgAszaO76
xj2lgRdtS5XvmsAQV4VlPyiCp5iqMCgks7tIxAuDKbKODOrPRiU0nOxsk3eYkUouni4djXU6QkAK
A7WVy2UpTEbO+yBluI4jzs/2dUlAsMEV0xtZT9Y+wnVZdr8ZxUlWHwivYnKDNX26aoqKq9hyrnwA
1HJg2EVH0wWpzQ7HU3NmyDp33578oKHT4UYPRlIQ4KW7L6RdLKKwU6xsf1L7yXGw2XXQ3zwbvENK
sWlZz7NpfLXkr151tTy2ZpTfh9fhozUmFcnmmD5l5tPvjB9857dfZN2tzOa7uIcBBJhAjMl4GecV
hwgrri5v0dt5OUZWgJwmRoq51GepwEmFDqC9NIzNVeMrwBgd8bqhaYJf9+5bx/uUXv4al5YAtz6Z
O85qOrj3aLDuHQAcJ6RRhKvNFJyyUt7ZJ9oEu3C4ps3UbswAyEfshVhdX/JuHmEVgD8xveaTiJfm
qqzh2Yr+VtWO4sRAiSl7Gj51a7TbVtWbOPb2iUIiOXXA3ZvGXVVGcRGTkR8teLw3FonfRQylR6St
efRn84bGAT3sbN63cpNBJ16ZSd8clAuMKE0HczHJc1HHOwLGqqPAHrprKMniKykZsY3kjmR+tDd8
UQCN6eqNaRvbviF/lebIfvTExQAQtsB+oG/qjMQ0/8GSwrl3C3mMhtbdj7H1kDKLOhBtBDcdq5X0
fGtfgaLQDPavrDA6G3CKNhBpniw6hJ6rZ8DtprGwgKwr2wk/MizB66l1ix2OdYaHODakpVm1QMaz
3J40vBIPCfqu/BSZ6bM1d8mGyKWPrnDhYHCmqXy8b1NLh0wkao97rSPgxEWzBidh5QFJOKIDMTmV
vBdIKoDyV8aO2Tuh9SljIH4juCQ1b7umBD4zWJg7ig/tNdaNhRt6KD+F6eXPhSju0sL59Ap/q+oS
AlGB/aQV2xzeaJ8M9wW7Aopa1ULSX1a/xkYEPqZz9WI0xC2mfrUTAbyvQtrevuG6bNbtF+wgCtMI
u7yr6ptB2Vwp9dUg63mrwSBwnmI1VSUvQ2Zw9nWQ9pWR2I/LivMrDVV1cdP0rZZcl0va1ZC3wAt0
+VXJTn1wQvfKRJl0dBpq60GSsoZBxKF8muL53WExDNBq7dc4Nk3JFCNVr8Ju022Uq7fObsVa0MLD
+qF+D21d7POuIoKP8MMNpBUsHxUFcj/gTQ2CXWmwv85D3yG6xbNvtrxYuyISBwocrz9jDBGcak42
gXRnusPmi0l1vwnw3Jtxq1bN0iZ2JX7bXqrHMiXGRXX+RM/JwwKQ9BOOKB6X5eJq8iqAQF3yRORG
ScANuLLadvS6nY1qR3pnhqQzachAmT5aVf4hYAeKuSCruTXJ0I5mb1fU3B3hynOeUgIOc/XcD3xu
rtPPEP/kRZsNPV57HvH1Do8m2SCHZlNam4lclBAZQuflpHWII/75kTdKCGdUjiVHOSFP37/RT0Gs
+f+/zWb1npM58r8PnpZn+HmamlJo7TeJqk5WRiDF9x2/71M3PkK777/p44fT+meLIq/51/ff6ZTw
r+8H/MevP8//9z9ALnCuHf+fr+Lvi/y7Ra53JDD+5y2xK7JN0EA9Ovmtw/6xvJnvrf99Id9bs7FE
lIefDddGTgnxfdcm9+f27+f398m/b/15lu/fzGBsOR7YSY+Rfo8XtkhIZtyxKkf7qCywUFYIDer7
N0xs8u9vP7eF80wqxM/fGSIrumr/557fv8XLmfrntg7OIw4hSMDL7X+f4fu/fx/8s62fx/3zNB6w
EFidMYksPn10QjAti7ohvvl5IY1Ngtj6+7n+41fZsa9uf56NyGv8/qP3lJcDS3OdQ5IIeyhlRoPp
afmRLTiaZPnxz20/f37/VqngOsiraPfP7d+P/77t+0l+/pypQln7VIp2y/9u5+d+/9z2/WdBI4sO
/HLvf57r+7b/9pBINRCwOi9Z0wHZ/2z879v9eW9VX2fz+p+n+Xun//a035vP5+gq6vp670tfAaOi
LLNc4jW+/wwEcFpv+fHPnybp3KAb/+9/Dyb4VRKroqXjYgJL+37Qz49/bjPJoIRYA7zuZwv/bObn
sf9s6r/dz4pIlEPV+b+vFn1hcwXK9Pvm7we4NakPf9/ZzxP8x///2cj3n//+24jK+jBl/fa/fgQ/
T/vzOv7r03zf8Z/7fN+WoCDbDgH8ghQrMjpfZIQWI7RVNShGH1i4W3UbqyHd/T1dDM6z4cEYAw5j
1wQBcnaRtPCukkzKo+vkAcyypftQYhXOie8dWLL5jrFcxIAvWNaHwnWwZ/rbniZkSCdv+Y1uXeuy
xPbrrbZyb897vtg5rTMzJH9dtOYhSkgfHPVj06e0HIlOWgVVxRixQ/3X+/GuFvqms+TZg9/COJGa
uSun26nWXy4+5DxBT+BkirUHc1h6gM0i150A+BGhWdmmIDrX/IqK8dGqo3yXNIgiylEiLmq9FTji
dGuXVElxfi4l+RgtHkfcM3Vy7aOCOsfLHEY6BPNM5aW00AIwxPY2ZKMiCKAUZopOBGSuxF3d9Mdx
SVMMhtm8c0PfPswDr8xnuToGL5QmLG1UDvW+o9CxQ9zTKUzeFrqroUuW+nymG8lahZXejWtDxWPm
Y2wFdj3KQaSgeF/MYX5y3OJY1fUZlS6G5859a4bmSsoJwECv063HtZ0K5TqJmUhBFSZmMJFy01XH
Kemv6UqwxiDgeWWQib6JMwt/P1MAodx0NzR8dp5yDmRfJY8xM8S5tvHfi5DUNxbmXTjd5Hr80wV8
MKGO3pipMx7V0XUMbWidEjP4naNk1dAYmZ2RK2AmiJ4y1i1t8tLoP5mggDRNKoJx9sK9mFcBWWkH
ZTP+NtoQkLPPJ+3STq+7gbCpcXimlhx3XWPKdaG6ryC9LePFNIrWlsgHWsl7x5ime9uIUbVAc22Z
uq1JA3nvdJRsGd+Xh9qgQVD3SUtYnTXs3SWtA43G1nZ54zG6RmCEd+Pi3Af5YV6PM5rPGCvAlVnx
Rdc7J8H9zAwSM30ckoRZcCwpm5V9YvxR5Glu2vG87EF25qtzkcy/GWFTJneMBxr3XRmBuEi7/9WQ
+b62OfzWyAD1apyQyiUJKYeuSYKJwF3DmGLYtHhD3K4jLBP5luPmxn7OTfTOamIoUjJbRPnyItIc
MT9BiWjWNOpBixfMtnyUZJtKzXrdj3oi+shDR2fsyrgTd5MFULIJP+uicqFAxx+TNnYqhC81WNRl
lnOmn5CckgorV5R8YWiGFwJyaGuN82vUTHj13YNl/A4iYG926qRHxzJL+Abm3awEbniSQgn2fZws
MAcQsvuQ6lsadF5zDSPHyH/ljdXv5obCmMZjvTPCZ8hpgHGzUuCSqvqNqyt6IYa8JmkuXA9qoClu
WSRd0Z0omb725ofXuJQ9GM4hhj90efOEmL5YR3Qq/ah+s5S+MEMjqdtRu0LpZ2kKKNNdRmdcQF1D
Bc96wxrJbSKcBPkU444sSA4E05rUyRYoS/cZ8FXjYlsrCtZIXdmYZHLC9QktYrEA3FoOgkuCAl/g
6nyIuGmZGsuvbH4lOWpAppb8MtOE2b39RATME0b46lSlCjD4CTq46evoQ419uKFdBf0DGKukIPeF
/acq0FOb/ls2eBd0mS9AAq6hXpJpbcFONtHfqdnNtguFQdWEH6EPoTVFCmeS+Kt0rpLD9OkT7ieK
x7zq362+Yi6kpls3MwihwzPo00nEJMG522UQ1sA9sipyQNHCbGL2iXUre9Rx2YfmQ1q1NUIYbBbH
esSChU2LPA7WiIlJzR7g9+nkySG+u/TEHWoUtR0EBJxlhOyP5capiFaqyN9Bg/c6gA3cWCSpIOyj
HdF15UvtkTXuqWlTAObcAH8k4a81aciMTMRQ2W9BMDz7mU3Y5tKcftE+U98mzbFSIohI7S9p5GQg
2L+6Bts3Ddd1b3ox4PQSx0xPuVaKHBQEQpoQ3s8qmeJXC5XCWKLrHCb5YGbNpenAmMDGqnsanR0N
K3vgBSf2Luqw3pnKbrej4dPXNOsb5larVPruxgli1q3xeJSQCflGqtyvd+hFaI8qgPuZdWyZqgdd
gHmokBeS3f+UTnBsGv+jI0leju4tkL5yQ0LzIbGCZhULpTY96Tg7PxyuQKaRULaADbjqbnsnQ9cO
zG/jG8xuEPdN6BuqcSMc41fYMOATetw7qcNkYECjFEDWHdtH15oBsZTuXrr23puHc55UT9Vo7lyr
QIieIA+ZmuItJdRUGvI1MmV2pddxEq68urlHA/wIp/GZKJBi47bdI3iSX3L0X2yJrobWcAn0wY/H
M2DLIKfhanVIWS3fPxO1tw5lxyRVMpTx3e6YCxQqqb8fiG+nDblP35jav0dx8ejX/fXoe6vMHBC4
FofOLd7ykX0iU93O7qkNHH2dzIiI4LFvifL0Nnlt36bEBjgtx2eOnLY4sOpGfUgE2S4lpjvkFa45
Nt8nNb7HHTPBoEASGkraBCkT3zL/NQTpk9OMb6CGf2cMaXXsgABPyeAqH5mvMpEz5X2Nq7RPDabj
ucUPJ3lwZwQpck71FphTD6Ji3rtR/NGF3THuseXQ3dxWYYn0QwW/O3KMNoorLNB1JAyVy/jJRG5h
uAPkdLPaEOWOBr26y2MYMxbCiC2mqP0Ioumt7LKlQRYe5ciYHpNavDYmQpCTlGuzYZ+aome9LBYi
V2AfFh11Q9Tgqg7yk/J+mSXGI3N47XlRR7N+SescENRUPEetceLM95C2gkiEPuCjjy9WTZng2XuV
DYdRil13gLy9A7nncZJAKpFiuVoNjAnfk4nBYB/UlzRc1Auq25rd5G/G6Donz63oAcIyFMKkwtE7
hOJ3UQBqzgcITGP7girk2o7UbU8Mb9APd7WK370SMUEf0YbKhuItiCL0B5g9191MU8tx6Q3P7BsL
+2rFSeylaa2BimYE2WFec0ju3X6ajzAfhSwveANQ22AGwjPD4dK/+Iq23FyQC9bF8qbIaJDg8uHT
JA9p5ZB4L/3id70YVwiGHZBe908pjfhDmzBVQdAT4FrAY4DuvIr1CelWAthHvGOD2XDKtXd+uST/
6bPTRmcla5hQAi19keL5YrTuGOgKsFCXOerUMCbx0pk9mvwOH3LAxxgEOAhKVFab3g6iVYeHnT4L
k9XyAT11zT6HmAkN9crr2vRe6a0SvnrkAkcleRd9kSfWX4NBXkP98A6hUI+GO7Gai/p3NL+kORop
dtn+ve2iXaxDphrpxH+RzBEGDE0NVJckdx7ZPAcPRViDJrCJGZ8x60OQWuYgOHR4DAGBBxT1NVfw
XtfowKmNIXDh64SYk6XXLn4sHQ83Y5SxuzTpPZmnZOYS8YeOIWdM2FzHqfwTdCntcYtxee48iS68
IDj5tEZUKXNLZLaFSUik4Y5x77mPwbtSLMY02XQUXyhBVlnrne00f6bWfg59p157kESQ6Y6/6Eox
bAn1eAkjLjX+REBp/xETmpYF/p0RZ7TH/QbpdsPRMZDwQO/WI1WQYrzIV6RoBWu/cHdZnP7Ru8hV
J09a7Yq5u7GyxuHJI+TasoGET6XBtTVgHez3t9hQGfYa+a1Db5yZ6yctsWrPmO2maWammHOi9+hy
HdChGyusnlAQfbJSbtZe3iB7tZj4B+w0xh9b2B+pzI/CZzqYJupUu5eyNmFFJYiJi5JCdPZAWHV5
uI4w5WSzd2776JHEwt+MdpzIvSYPfIvknUwNBJZYjbZKxwsCz0VE0ryNbXbVV/P97NCc0fV74xqo
VSNEYzBknmoXyehYi6eQoIZVY8bUnZjy0cpiAA/RcpggBBCnMF6ZD2QCrNLK+8j6MlkRewdAzLd3
rjM92ibmpYwjMOETzt00XiRnvz0EJZsCoAxrxMTyUYKM7/DqmPs8FQFHaVkOzba0+Jzcwb3EY3kG
JI8zzg9tyrHu3OXeiwFjwMVGhlxVv9rdybB2vjkyBvCMB1eSU+CyHOMkRfCsGeIDnZ7Dxbs7CJjs
OSc2wznBhHrTifNp+8a0E7Z+gE+9nZQFFCsuwDa2VIRexN4vjSnaUpjADUxyCiqHiwWSPpk7fxzG
FSt/7H8z1P4+b5KdQIzhZJt3Ker6VdIEmzxidm9E7CWBZ394Yfg7Zb6EVVAeHXs46MmOmDxY940X
IZ2yIkTF8MfMXHrLA7ZpCsIXAdZhDHMG4/a0thBFBpYOqQMy8s8jJDyIOwCcNcdWqJOBQBHcDdCu
on7KiuqcmP6VboE3SernQRGViHm4IRFvsfxlm5Xs5gutgNfa/ZqQJNXlnIHSQkzmdP1dUA1vQTf8
Skt1mBlq+7b1jr4ThqBDqmMFf06MLba+eWAgwM5Tuw86D+56hqGrKSvPGseSwYxyJbPoLfPQn6B/
ehTqvndNBqEs3eH1AiU2ofcyVDoXnnvtWkw+81ht/ZlkzNYMbmpWHRqwBJEw5m3kDk+2Np7MqK92
cTLd43DThKUFdyWpPVpnAsTl/BpG9yG9dkQmZQAFbzEsqIwCmwLTD/AlZbbcTIN3hWxspdt+r4IE
/RCu5+KpwQF6ZQLZY59ct3XibMfMYiWmEbzhNyAAxyYHMbzqYkyXVofPL07nbdTjPSUMYGjMV6Mo
riCU2nsxTns5ip3UBaaXJuiRVKlfSQPXk6xG6gs84RQYS9AGVSWrr+HGzI9U0t7RWJQnOo1QyGif
zRDDUUSgfp3otWocNHhh9jUFyWuiki28U/I8dO+ss8hGdDW9SDcttsIm1cQOV5WG8NbhavEzRntu
/5pXTNgF086NyPjWIr9FCxMNuB0tLJzBgbtli/jKz5/Gkau3JxG01gD51tpX6yjsCJxM+gqRUHTl
yq9aBPEqT+qLipOdk3spptfxVOc2vFcBWzfrWbShR27Ur3SYnnJUbDBUo2jVcMSDSYKn5UQcSsPQ
XappF0GankhGQeup4J3lMaNQKYBeia1b6Bowrc9gQNALSdMvKYprM0DTxBLMY1nvfcezH5JRqiU3
kJB6aX8NDqaO4gmwdLVH+PYeoGYJZsBzU1Qec6f+ksyAdoEsvrICq++gh11jJ5c5Rqja8GNJnFiN
5nzTJtEhAALbv3MoElFRfaS22Nme/gOS5SIifF4p5ygraLelDp4jazxNrYGSo2EVLwni0K2Lrozp
X8D0Ko/svbG0wpN6ui4QXW6LtOp3KQJGn2EzgVLDM8coahCrRuQyuP62JS+Gx62gDi7R6snRKswn
PKjGJmX69+zaaEeGRtyp5CsaX5rQeUE/8xiU/ZJAjTURncW6I+t2hagDRRJayoDVAgUvxyaaXdns
m9bfOW8mqSiN5TyPZW+Qd9/eSz48moLOnVGQs6tc51XD/bBiQJIzWi2+mSi+xkLwGM/+wVp0b26c
dJTChKggGAlZw2JSxN/VOyV9OFyP2r4lkvmu/s2JV8DaHBrnekz0XeGyUvNb+O3ZAD7ONV8T0NSr
yZYXrxgeR3QKO8IYbjMgik6EjixkJusyht2wCISHTOE5OQ/WB1LqjwDncmeyY+bec5D4D7YP4zZO
z0k073OFBYVkkK7laImxTofw8R3ztVfepxEgCeF9HTFV7XDj0ozJuP6DmifIwNbHpr/kjX/uOAFE
LsEwrbLexLJ4DY34em7RaljyOrd90kJ196tuxkUr8Fz0DVqGBLnWAFDHND3EIoK9hSqmr2R0mE3c
VB4TZCnUZ+XquzohqTrMPNY0/UNQuCdEFt2aIQU1FVL7kIklL8wwNi6xmBQAFkMZW63cTP5KyuSQ
eflVi7fYzL2vJGzpU7VtvXELK96N6d6e6kvu5+O6bYpjrUf8JCZgS+l95FZ31dpMYiOPmJYc/22m
nM9EVHdt6m15Cac+uQmgIXTzcF0Z0G9yH+lGCv5icO6FMnBniD9zZTzai2cNx86jkb9rNA7ebBOQ
YNbUXDbazrLeOMr6FfTqaEfpA0Sc+Cir/EuJ5cNOivfJ0i+AjTmFOTiNO8l7TofLlA9nmaUPWCg+
KCE+zEXmHEgSzevpva/jYRWaXMiNMsoBKJJFNdsB8ub+u1M57kdOmRtnojVrpvYVqnW6Cck7gVHp
MlO9Lov4hAr6HmK3uwpM422Oh2uzia6SqDrbnMKBouyVlEgMBhtVjdqmQ/qaFq27/tN49S/PKT5F
XRPDYcu70mhWSNg4ufi4YwTmD9BjczVsBbZXn45ekVv1ySnKB8SQqypAQ1KhfpkGLEyJJV6yDFWs
10N+gUlI8J7rMKZGTG/IeO83FWjotZrHbBUQmL2b4+BUyOrDd5t3pOM3uhThNmU/5Qh5we0QbI1+
E1XynPZhvLfbbB0MZGIERrV2svliCIIGCz3vG8/Zej2kHy55xtYr1qHN0YWKUh88jcJ80VOPIRa7
5U3VTnQ/BjRvwDSxKqeiYy+uzk7xDEFmkxTytk3Ua6LRvi674Dw19qqiPNrFPjsKvfwLdj+CjudX
EagLndsb0QmCkmHhc3aytl5Wnwq3fFCJ/VaOPskqKqGsHep9SNJh4kI611X6gHqB67BJU4bmcX1g
NfYA9ve1VtkvVr+PQ6jUMcAP4lTzEhRQvHr1dVuLN8qD/pgklCiCRv21EbrbFh3VGrF9DorJPrSG
S1svA32XkZB6XU7GtQxq48Ja82Us6e3OfbBra/I2UVosQWoIcTDU0Bl3i/xQtedKkiMO1pXEudz4
xbp3NfX60U1FeBhn41KzKieOLKeJGcZXOh1YNBLU6Eydsa4zRPc11OOpK60ro0DL3MzAxuM8YKEW
Jua+FNZ+mqLm6BkhcvwpCtc4wIjknjo0NZA59t9//r1NlIeM43KJiAkK8gzbqra5VimPZXwp90VC
FEk1voZuembw0+/8AE9VE01HGZQ5joPg3aePbGGgXgVObxx4P7vZolDtXUGnD149S5vnuWi7vaZC
bweuYbqlAZmqh3qUH70CAZX6XH1mIrlcS0ekg/8JApJapoLRUEPfeO4ajVwSFUGHN8XoJ4WFidLe
H6zfuIE5aKiwSyE+ncwFm+PTQoeqRGJ6uSLMg/fkc1oKwf4NS8mWGIg2w0Mggl9JZGN+AWs/cRIW
vTg6c3oNph70amS/RPmlR4qAR/jcLJtLlwmM45NzOSTvQxQ+hy5EjLA6kCyJTH3KrmfTvy/rmzoD
w4Cy5qGKcbhjZDq2tUtLM7jBw7hqg/CrHYEiuzEkL6+4IzByYUSWtA3H9uQCbsYF4XBERNW07U11
1Wt0j03cjCtSzzcU1wOHtXOstPs7IiJsZ8JPQSfe5AmdUF/0KyuoO/YsJ1jZE8Y7EFI3baZfYSNT
Do0Ztkan/DOkc3dWudrHtLdNj5WyE0dcYGEhR7iqtlFivqZTcI7iP6igspPZLl4EFpx1GlacHrOH
cngWDrYUHbJGS2LksRLr96gkKmGJMiPKWDsHyPJgyOyz1LRe8oizda6A1OW0WKBBeXuLgJOe7ouv
3Qtr7EffLF+6Miy2BmjgjbZAUMQGrLDQ3qeLFC5DkcmXGLNoNw8unUOaVOg0aXti/J0LZiVYmmuS
aWbDv4xenu9RBvEo++QwC9uZof8xY0gsB1qVQjNc0TGP6hbGmxpZwxkOhKWqCNe571tbMetHq5AU
qg6JyxrSz8qhYeXVX3nW3LZRNRyKaXEXFXhGbPeoSkVQacxgqptpPgVB/tHT5ONqIw3MpnTMCpkc
40wvBbT95vn4X+lWxnvu3d6aJZqlwUbetoyexHtDhwXjktEdEnWNcQDTIIbKuICmRzFyJ8C8AJmj
2dmbRrTXF02e1roue+JTKq+l5mfs4eshPPYNHb907gfmZewwkROTjJmQW0N5txrbvL9rSoZAndfx
1QySCMXsHHtwFUCRX48FcuSBtia1FEEUGgsNq6l90rhgB8iePSvG7jhKOYkFdoDHJj1XrnkT1a6z
d82+2emJvJImw6CRV1sy3kHyxVwc4tjtTgP99jzE0pDl47Nf4QM11RNTM77/agY2R0dWpCR7FZK2
OutWZsvoC1tH7yrTaddDU6XXKmB+2rQ07WtnNE4tezEMMGCBCrknC4jXKCJG1VvqT6m806yPXs6Z
tEhBdZM6cMBzlnEKk9OV2y0zodY0Vr1V4tsK8pa6tvBWCzicHEV2C2Nw7RPzxlJxoLHM8r3nssA2
FliVWBNgUdlQIryhxjfLIdrVpPj5hNyPbCKfOISdoiV11nUdVHTNNf7aF+Xz2QpL+VD2cjQ0HPab
cnxufd5x47FJO8dgNsYQmztGMn6oX7zII/AHw3dIU/IUyzuTFgp7FINuvhWysDsojyARtoJtW/W0
cxpOodZSZQXMerY+aQjrLNYHl4X7yjRKY2v3brVnWAzludpFyDCTRLO95sP0XXVfEkKos+kFHMN1
rQMNNSGT6CmxVpCChg0egMCYztzJ+OOWhHx5XvxZOwQWBiHpMsxQaRxGdkTQ/UTb3K+/bFXwEU3Z
rV6cuqEIn4tEhwd8SqSbkMy3UmhQN3bTHPrq1FbsyZ7ANcWBBJmlPrsT8WZyrEhtsHF2UlZ47HNu
bX39D3vntRy5lWbrV+nQ9YEOvJmYmYtEep9JzxsEWSThvcfTnw+gRqxiq9XnAUYVAcEliEQCG3uv
fxni9V5E+aPphrc6yS8WUQWalp+HUifpzEdYXjovcPf4tCrrCLpvHZyl5l1GkxnR49GFtjm21Jh1
9FOB1yxKT3iyCtWEqlCINu0dlAJVMAiFMH94oUpNh7IXNvn0dBjnkMpCj5Vx7UpOaSvjrg/nvLY3
geL0Wx0pzsxn6KMmNZ1ZN+2W5Dyuosy/qYRIXBbmWVYFOoZif990GFSVIqhwV9xVDRURvUV35yYl
NkDEpOpdNHD27sErqye80csSA/PGP5PsTgazz1uxaboHVWY4UKNXm3mWQJ99XaSad3Kx9BZShbIB
fZW2hM+bNk+YR8Dpdg5hHTakTby1JoB+FgDBN65wWwEKEPBmzVw50QE/lDuSPkBboypewAV5ERi6
F57R4xzmq5s4CC7EOY9u+bjbGENG7KQFfi01jPlwjQP8z5J3UWlfq0akx6K3a4m2ZxUmKV6f0SuK
cofPIi4RTEbGslFc+UYBdxW6oiLTopWnYOOJ/3goBOtYxFuocJRzXlrBNoWXbCs5/khoAfuMTBOU
vPjko7XxqrY9Zkiz1AIiS4d1lle/9H164g0b0Asm7DNLfTxRE3gg2bIP0pJsXcYdSLCyszhkb0EJ
F6TyghtZtBzby4FevVTDoS8HOEFAV58S3fZj4QdYe/ssuGuqr9DYBfXYlJTZhi75YRj4gxoqQ6Oi
POajModgymHl4mp38seJBvoWCxbe5eMSOpUfjQbyMOYS8CowbzEu6NYxBPFZCAUCgChcmoKFs2DR
9PMspx12Muk2qP2A+0B8KDOvnUuybNiusjZ1NGPqYD0QfYGpTAGmnZZxuygcBjJxO9AXmhVdmm/y
rrxtjGxYyQiQFg1mSl2outSOqc7hBZKveHhQEZtIlCoT7a9EJY4uHG2sDsuekVeYLpSirI9NZl6j
hAuaDOhVM6k4VlZFQKCPJSWfhwAvVJQ38jY4FU4PyA/MiKLwta0lPEkNyvJBLd0rem7A7njO8sRZ
eR0C6xTrssI4xVTEiDtVoRPDnHcyYdlQYpUioZynmJYFiLYcvUEanm7Dou4wOM8xD3OOmJIdXJ2x
CsMyeLAZfrECUQCpBB/aykj687t3mlzM2AzzLCnFJa9DYBgdJ46e+qfKe8mNKkYCaDOd5hw4qMZ9
TWnmVRITwhph/5ZL5oehNWgPq/uugmmmkqRnGz0M27KnfVaGN7Uj9E7BnTX4MHRu0CGOfuTYxwN+
VvT9BFj/Se+SvJ7dFSFkioqbSy5vu7DcWQUMH3SaC3jmd1KIrwGRzz/UpkAnr0hYy1myQgiYQSp4
NouovywaV99YUH62WdDdSQMSPpfoEy1KuQCG+oZvwKombwGlSITxuhnM2yC6xSGCuqmBkh8aOXS6
/tQoVA801XnyzjBQaFVspx0WtVzNhaY4YDwWraBlbPrGOWUlBWIDLCKUiL8A0wto/vuHONHei6E7
qNgb0EslDcXbIUhOZtydAoSgchmq6LTCsXdGHeWkBx6S7rBEsNko61yrNhKOSXXc3Qj9IB1quEBy
pvEa8Nf4Umh03pV3OVSwM8YrQkirAZwr5GXAdZNJzc4hPRWmt6uopYG5vchqVe3hf9Lam/1SqCpr
XuKjbKmjHb5/iYgvt13a+pRocVXa6E3EqxyD5EUkZaQd+0jrOuRKsvDuavVLqIavFY7K3P3yqs35
XVS/tfHECZf6UGJXCwgZBPFCEAIqaAp6PjnFEkRFxQbCQMVW4zI3cJYhPtHCboMquOP3vxqvBXrJ
uQteAEwL6F9aIrpDhlWa+96V3bWUjfcsqh7MvryhCoELaSAQKm9U1J1Rl+UOwwFVGtk71FEFNNe6
ir2R6FnmjCzFnCE/qT/QjpRdlkuvktNis5TAExurWUlFigQjNczCkmzTdPquIYyLfGGDJyiBvRfT
cDu68KjU/kcho8TGy7ojogNam4N6vnhPjPKBkGjQ6CQ95Sq5drw5adMj/OvWsdocOgwl0M62FE8W
telDqRNJv3TpqOaZES20UeZC4/NmyO8UNM2FN1iHDkraPJHUH1HsXhALe1s8hLadNkyC8kOGQRgd
93ivYxQYJkR3V70mLqDNka0K8FMn+kpqO3dfVlm+dMv8ig5sIWrk2mShui0YlLpVTuRzjfVAbOUV
LTxCsuDdw3EN0UK1URKB742doqqD4tC9ZRCmuwuhb5FAeNYOZMPuymR8D/okuhvJrZcVZ4VEmg5T
B07Dn7foaOcmaLldgPnpGObOcsrltt/joWco4T7Q84uL1+1M7jIqVh1FjI4IGphTKxKRMCjJTtUg
Srg2N0tUE9irhXTKsnKdJlh91GDCfoLzTtUlC9MbDj7+1TbJM8lCzKqtawYbooghqsM4kjBgXOBf
8+AzWIw69C5NSRegcvGBo9OPAcSbS0EvDzBWsFzBnwu9/KJX+UkVq3VMYPCikujvRhXqEPrVApGb
KV7b7blylddM3bkKrWbntwblsA8LjkOqajhWNta70VcvgF9qbt5TQVl1iUutJNwpDEo9l25E58on
I+hORFaf/JYg7VraZG4ULyXgAT3Wz52MGA54qlhluUjWm4K1WSE/lB1+NzmAqRZjs1I1gW0l+jEZ
lBtHCa4qbcrSJD4vLIaVlZF0yZtcNQO7TimQkYuyCALQSCRwARIJOe+UOTRKlkyXzk4GL2ZMmRer
eOOnWFU3JEZWFb0SwEYr6aAACNFe7Yo3J2jewpJaBVFUUn6N8rrmoemRwqSP8O7f/E57r5t0Qdza
XBGjbCUKHfUyotWknFG77r0CyVKwR0AGeCaclHQgsM+4D4xuLZJ3iygznwuVvPcJmMJeFo5OzQtR
K9Ha7j/gUi9yMeOFURZ2Y6lLLecNK7avUNbPUfiqKqPBQbgB1L0gCZP5/dKHwbHmBdYHSJ2kOyst
YCNZT14NtZ1K517AJmEG0a6GONvttdi8QWsFwB2bd2LR7GsnPf32j//73//5v6kH/y71AG9JfbpU
P7r/cN/T+Uv18o/3pPKr/vgSv//Xb3fVi/dL6MHnB/4IPZBE63dRE79iD9Sv0ANJ/V3URZmBoki+
gagav/0jgTXo/ddvqvy7KMm6bupU+SRLUkkqKBngskkxfhf5TxE1ydDwxZS13/77Pz9P7ZxGvZsm
5bflf1C5Oqd+UhFiIGum8tsvoQeiCQqniAqsnDHxQFf4sj+HHqSkFXtpb/YHXYIzE4WI0alxm9n2
p1ndqBn/Nn6dbz9nv++gRiugPqNetiUsczs1hrPvjRxAK61WJBvbjC+s+yYFN6tTFdpx7jNqFc6e
gVNxUZv7ohDaLeZD5kKQho8uFfxz0g9jdnhPQGkXBsu0EHRbwOeN15OLGWIho4Iw3GOMoGqLXvzJ
E4ZHjJ8hgBJbvM5U2MZh263kGPwjpmdGd0IqV1Guh/MYt9xZ6bfYtEzfBD9C3onTrIDl+3AzzaqY
EzQ7c0jbOSMtcEsho5s8bfLHTNrPS/HTYaZNP12laa9ppYhZkF8O0oo0hEZcGIODGodaVfM4zSLt
j5aq6t1q44Zp1TQJXcLDCVvP/nKd2lYIdKYdIwRGf8yqQoOzzfTJadP08a/Fad3Xn0mmD07L/zT7
93/96wSnOdfPtE3vF92maotsK05So3GuGSfTuq8NZSj+se5rP1fLaNinfb4+8rV5+si0iN+jR40I
z/K/2lnSdCqq05afjvi5dvq4RocTasN4fj5uDEPufZ7st3P6+nvTsb79qWnRG28KzDIBaf78PhmO
IljojctwoUmpzxh1ZP043k6mqT/qj1rIvch/xlkk9MkWcto2cot0Na363BEAFKHSn7t8HmPa+3On
cfPX4k+bw0lbRJmH8dY0O+317XDT4r/ePP2Jn87SrRwX/MIH+YEHkM+CUbkUjic37Zm7AuZFVitk
c2qu+AlOy+ko8Jt2mnafFgfBC7btdVo7rfg60qBXHGRaJtgHudafk2nHZJJ1fX3GFCjG1bHMaNnj
hTzizRVReYh/vmaxRSRiCmLNdtreJUhXM41eezuqzpC4K/OmNtR5KwjNPFQvsaZpm8mC0hnNKBO/
3FMGEehUkGSF15qdDQkvYNN34u3nLJRAIs65muDTYyTt5+y01quMnRoQuj0tTZPpg9N+X4s/HXJa
OW2edvz63LTOkccEgSDxlrk7wM4hePq16XNcmp1iN9SpQksRAQhoBpWUqHo2x0Z8mihlR6NODApT
SjPZVoKziG1OQa5k3bXb1vK7rWo4+johlxeM9Dio+W2qRaB/zZ/iS13bF3HZb/AGjrdokJCujXNf
k2kdlnrZPMW3gmIo12MoKO0x4MPOQyiUBzXIyTs1JH3tFbmycr222zouk4iiztIfpFv/M5neLcUt
VDIGv9oFyJA+8BggXvmFQuRA7s+nxZgwSPiTYHJNDUOsC4kDl9uKDpgpEaDTBLjJ+WPorIz40Shy
C4inxsApbzdSfQ9U8KKYtbSMS0iMUDzooJVFaOM7wBtCVJxlJw03DugvtGdxDVmQ3C8Ro2dNMP6Y
K81CBbuubWVso00f6wpNL+HkgT3xQNN4gz7DJJlmv1b6jXhSWm8gT50naJp4Y3Lb1+I0V/Qw6JR4
BK54kKZJCOliZSTSBoOKntqaLopbwT3lYiWs9ELP5kLW8gj0cQk86ZalLeAvkxT1Wbaa9vNGVMZf
7uv2m+amdXlUICBuVKxQDBFwMo1WWMWU28mNVcO05A+L1ml52vLp29pbRb82lWgOPaPbYvQ6/sJK
RoOHDevCn5Y9OJ/bLnf4VVq5gV1tVOqidMaYdVCpGfbTAhWwQe22n7NVvsYxWd54w7B02kIlRNCE
dZ9BLWY8OiMf3kLQL5mfEwRcatvzQq4DDM2KEhKYMqhzimQFdWkFhVE3YFpEQKZA7ZsEBR7kDpCN
Hs1a6i/4dPY3KMgVTH9vumcSmUlvMMnwTOzhPloLHwwtXAWPMBv2ILdi+OYzmD3DjM/cR7DRjORv
XK7rx8UPhZxZoNtyLSPi8BZNJ9sLA3GXXC40lwBjY82g0x+OrniW+kWuvtXOSxOPhw4wYoBVRtxi
N6/usecuhIXovcTKvsYAC+Jat6vNdeQSojnHFVBPH/Hxiod3eBIB9b3Mo7a61NwNldPRNQAXiNBu
TMaj6h36H1UjXGHXuA/Guz4G9t7hlZHW1NTXRXBIcavG/izaA2VB54z7nYrjkHfAPCET1yaEVgwx
Gpt0RIzvBpwGMmVVcjllATqjOlM5LUrTQCnWRoAzNtjCR4dFtoFJbFs/Ft0cx0OO6GQneMlxgsrI
Fup9b15h2bX1QwyduHbPWfWGDKbYmjsDcjaeqLByfTS7lEvnSbTxBA1y3RpRMz6Pbng1kI2ptiMe
3Warm+sytqncKy+tO1CPW4k1uRQbOdzH5abJ7VTEpsaGyudxfRW8hiiHz/D+AUuAv2IBTc4quGK2
+Fjcm8K2o5z7EUDvo792kg5xOReitaMtdKKeoH2RnTPYzX2w66xFe3L9uXRXHfw5YT0ufhXQChVg
4U2vbzpllXkg8TOteMe/aoioEx3M0Jb8Ncx9fSDe8DUY6EfSTI5uc3vRuqTCPNVXJoaLw7YwzmG9
C4jAGXgulFkH7BWEH6l7r5YHl/toRyoM15tBreiuAr6bPhM+IOMb2pw2TOA27bxt5gI7LzCnVpvV
QB7UB17LKtQjaBrdHA2/WW2lj7S4JOEGfoQCnT63uU4CKkzcobg7qSjm5iYQFlimYn+K6R0Hq56J
qdJAB7tlmuBnZUOp0YgNDaCxLPA0aHHRMnegElI3F/fZVRNwqcC/ajtQM/bm5QbuqgOkiWlduouG
RYsPfLWHcILcCGsV/Blm6n4I+9mie+7uvILCiWQtIu1SyZvWw9ev2UPbwVodxWIA6xYacwS/ZNMO
O51R+3vwDJCpY4QEPieLpIdd23hvUG26hZWnCk+QYXzj5D/CFlcG/PK2kk4P3I6fLIVU3b3joj49
Z2O8hX8lYRU7bVRY4pksCNEndNlDIL1UayopNrqgFh2PO0eCATRfhFvmJSwFcDHBKUvYB8VrFa9C
F2Rfuq3NE2XvgpKJNcNyRX+D/WLdYcCmLZQjPi84Io+kRIskBnqQi4xM1CfIKbqB5BtZxXIEoAo7
fUTlgddDDSGYrOR8zlFK6KFo7KI51/zIzQxv4KjskFatU6ia1RL5MGgE3hv4kRIia3eGzZn4MN/T
RVPdMXCCPpDt6kdNeczrNYhfta6v8pujLMJizalh6ZUBquP5VGQrzsnBiyfey8pMh69gu3fZA8iv
6mMAs4t2IpY92MLIN9RkK6I2aYqldt+0e11ceq+1fxysOXoX4SXi58orcdYLq9I/AmtBKSPo279L
HuIDoZYn9VZYVMPV8zH4BgJ6VpSTB40rrWc6JCyis4N5k6+U6CB1e0E9FM7OzSlzEPW0zE0w1R1+
2DDROmrmF5/ChLpGNIhmo0cUc7YeAMSsH+k9HC3o3Gt4RjcELGTqxr0Mu1CdDYCGDxYSqX6FCKgN
F3C8QbJwhgweRQx+hoWPV1djrcuIdx0EfNQA83BkGM4Azbx9JtxqpLEMt+oAKHZpGZSWL5a4rzAZ
IQckmCkaPzJgLXrKpUsKB5TS9Oa29m77YWuawKSV7SMLiIipQFV94wYfbf/UYJ3PeBIVwkNckoFc
HWQXuRu2cyyImLLZIjUA84prf4T5urPXu3VDy+JvM9zH85c220sCbuYrrhBec4U5w1zAx4UZ7NCb
kcVlITplXpo1b9i+BbOT9+irO44e7hjQeApCL+iFM+9Wt/NVe02xUJTJisflH1NVcjtW0Rx2L8X2
6hVbyHTlFSviWW5FKEO2voVuOAuWBiSb+Q8tsLMHJBH6OVxgk3xRYMwtg3my6896sVCenXUF3R/W
zII7zVig1RTfqKgG9y7u1LZ4YxzbYMGZSzYPg/eALbMDRxyhwZ16Nt+yNUWmw3vxAGFWOwYoBVzc
aGzKkQJ3LAvCQrCx9LqW88521rHNNZ15tjTzltr1x+w9W9Q/MHScbzxxJp+VY7KWzz2NAh2AO5Rh
PDHJQ/AgKjMIBMWDdkX9AMgfq1SzFw56OQQbCy86sGubLstmo+PTs1JArM+OAVvmLqIIF6wAmzUH
lTAZzDO3s705OSlGOsfLlAj5DfQsaKMe9k3P5So7+YuO5Dhx5ZZXhksjJD/YbrHsF/5WnTc24jQZ
SBe5RXIctoqBbGn+CqnbxsZNpki0lB42KpqDZ7jbyp4YkjXpi+VR+CHeSxhTofR8cXkMYHlctHV8
Ee/cbXhAJAqhhjgHJzhSLk3v0lXAWa38i/lEiYNtEtopaKr28Gpw1gso2kjpvHSD0ZOLoybdNqII
uLZURC9QIyihEJyjPYg8YcBEjJ7upFsZf84b+R66+TxZNmcN4vGsOYc73VaoB82WNWFPXDRb2yv7
8tici42zesa0btgP+/yoLHFHc9eQ1fYoyA883kj7QkRl+45IntvK4Z0xg7ZFmFRywx7pDCeE47DX
lt5TtdFIb3/pF+bW2T6XL90+PnZz4nvMFb2PvbxN9mjbhyWVATu0hUU0h+w9q2fBwbEB1OfQDA/R
0lribXauNrppZ7fhMbsVHv1rN69fglsyD26phHzk9+0i22izDKf2WfXkPkBGRqx+i281TG4tmDON
q1kxl5a8NR5oybh1uMKohyPUzxBIQOLHNrw9D9diT9hItgmPwlqbG3vtNpvDG7eTlXVObH9pPJGK
LlRz74CSYHiqbdnGadumhcIMFDL3k6CsIYPxcnkiAt1euSs6JZtox+1wH9xW+/YjPJqrZp+/RPR6
QL4exY/H+Ohf+4Xz4T0lb7jVcCVoY7QdHsgHdBCjpe9NclMfEtle1s/inX/BpwtbZW4rHip/diu+
J1QsbbGz+7sxEX12a73WzxgEqwsSBC/x2nxR74onZA74BNBneSmegh+q3R6xl+xuwl24k+90uznn
F3JSFxRyZ+JKPjC1h7nAH3jN0AWsEIDbCZYsM21vrHUb2/nH8aZbCw/UOGneatAK/JSe8U2oDzA0
WdnN4ou0Tk68Erf5O/dqeofiYTPsgmV5N+xc2pjqIQ0X6YG3U/g+3ffVQ3DykFnzduEpmne7mN8r
mFdEI+nwim0SNzIorMQFMCZ9J8elemAbD5Nfz3VpZzJG4dLgL8sLi8skzCCgd6/Da3AjOHYQUtad
YScoiTO1X2nUnmEy3Qmv4oF2Wbe1ZbehgszTcta37rrbdPwg/bF7K56Q+RBXteR+T+DY2soPiPy9
nd4LJ5Jnlu465Y0USGuoe+J9qzxC0Nu4G3/TLXgXN/hVLpStcFCgvPoL4xq/I1XUyrlnvYUQT91Z
LPPK7M7hAza7urX0Lv1VXBmnYV8T3Xgo8NfCIC/kWRGfqOEumrVzfvcvLZcaO20sICC80FXeBif/
Mjx0UwM4tRKwS2hUsHMr79J3l4o5WRUz7bXmg9C1cROn/eA1+NoedBqC+2qTzLuNxFDtpTrlW+s1
hrEGee8Kv9x8Ya548h61PdX/bjzrYe8GdnltKjgXlLlmzY3xIN4VJygHhNjGl7F/8Cy95s+cIjUn
1FT5e9PvhwdeiM3rwM8IiSQZG2MaNroI5ATRLPULTBVQcG77xStcLtg4s+6qHKHszqjG2J7tLooT
bSmvyechPrT9CkHdiSYvOrUHrmu4Fm0CXnc1xI6TvPV4QukC2dKzuEEgq++thbnhwVdx67SRAcyT
dUdzo6+sk7gSjymy3rl26z4US9JUwauQQ/HwuutXb54tNDj1vNO6i75vZikvvODEeXf5QqKRJMps
yWjsAVKH+2q8DU8VOtE36Uk7mby7g6V1TB6ynb6pdl5pW1c5wI9mUQcLXmnyme4gOAw37V23Vmie
i01rY+i2k27MVb6ih8qRV2dzrl3pU7Tv5vjtYVHvcKJd1+8N7cQ6XlOOs6V1sAxu/Et40XZIka/L
AmX6g8wtEM46YS7fNTyZF55Z5x5skR9QfVeoN/sL8b5/6V+yc3EbXuNjtU9oBTGQPXm3xo10KiJ7
2DhbrC+P5kVc4DH+9BrMhSs22zzOynr8p3fYas78wtbv5ZfoLGiLIJu1ozp9VjW2QGDtWvFnIV0o
G3Xuo+kdeNOI96WzN6sl/eKtviX/cYW/cLZhvHAhrulIN5O7Vr4jKQECB/y2dtPdult1Yw3ob5ey
uRiMd7Ef3e8vod7zK2L1bNxWtzhzulud+6jgiU2v1gMn8QoldVYHQbOsRySUuDp6vLKhMDZifDTB
bsIIRE5OP9Pkcx1xMIop62AF4E/mWFCY5qQRoprmPtEoE1OPtA0ujEIAodQRTp4mExL1tTjNuX1r
zuSWMuWEQk3nY4rRtvasbN4a0g1WEN3Go+qaOy05jihLJVzpN2iakbn5u1J4bgBzpNEpNGoWOXq9
NbxXSsw81fBaMeSCfmaE6ZoE35MMJr8qIpcB8Dhh6EIisb5xcyzG4O+k22kOth16WzyF5I4CQxmM
qD6yK+oKRUmw5TQbEofAW6CluYxGJzQcN2TfBME071yzgJ7qwmLF1e6aDtA8kbMw4B0C6km9ArVY
BRv0dRAHaVzVkVu79TwJ89k+fIUrCvoij0499KizzqVA1XVjpzy2uzA69JlON2g8Y1AtKgJiIFL+
Dn1yEp0M08ghPcqKQoObCycw2nWBIJ6Gk3NSXAVyT/rQNeSp1CGMY80abduMsTwyzdadDqThq3g0
TpDuhPFOuO40Z0zFujbPd7HjxqtAAf6eJv1Yv5MLgPKvdZlQ+2joES8kfQOkIrVjaJBWbJtxMi1O
ExGJMfELjMAmHHSaZIKQy/hvgovqDuK2GvrDhMt+YrXySKqXc59p6+kYVWcEsopjRlM3IsP9n3Na
7YJ9juumybfFab/pY+QLUUbB/ONZMlOA7vI9FEuoKCYmAQYNQIhLnCDynqmkdCdVsry1imNUZXyv
DpBy21tisUU+BxM+hd/nbJDZBHO5xmI1V0HFs7Fq05VU9qa50IQ9knjhPBi6M3SEBC46Gey4RkL9
3uEocaqxOFjC+IbpLmf5FuP6DIxUvzdks958Lk0bLEQac98Fs/9p5fS5z+VptumgjBuojgYwV8yu
ea0AIlduAX5cwrqkNjbNT6unCRovnu1x8rX4tTUvHRDXJlpNu32t/zyKUhfFYH9t0tvkYtZGhSsK
CqOGkF7kFKJ28OHZEYIHWw6UgbSDTtW5vDyDk/GeoBLUipzyKY20YpVasO//3DbNfbcFhESIx9+0
aZrkk7WfCiUfD/JGxmSDJ2b6EOh1NdhfJoCImfh5v3sUfi5/mQtOB/1L78HPPaftXwed/ty07vPw
X3/+c/dOcxNSE5ubbx+Z/mBrFLDfCzDtr8N87ff9zH5anv7g9z/1tZxr8PdkCzfQL0PGz9nv3+4n
h0Zn2nc6yE9/6XN2Wvv5Ba2acaaOQ9JPvo7/8ppMXwYvCG7A6RA/Xdev7/nty/z1GXz9ieF5qNQ7
ynRP5VjUwNw23g6joec0+bbu2+Jf7UINYLLF++Uw0lS0+tp9mvv6U9Nh08kc9Gufr81/te77n5kO
8e2wn/sYynCtqLct6/H7mVMB1g36dJUjoajGFzkuKEzGrd8W0W9QXKR9/mOLOVVRp90/Z6f9U7Am
2dTwnfuLQ0x7TJOvw3z+la+z+Zef+3Zi//Iw035ff2k63te6bqyC/S/3aGIQ/TvukWaOzB9oWv+C
e/TwUnp+4lZp8gsD6fNj/8NAkvTfLUnRdHoAlqJpI82ofS+r//oNKzj1d/qLijzRiP4kH8FYEmXV
NCR6iRJT80/ykar9rqmahH6b8ANVHXlJ/3Nu/x/kI2mkFn1ylDZvkJxMzdLNkd0k6hLKdUnlD/1M
PRroddVCWeuXENE1Zcqw35SVu6lcEVuGOk4WsQKgjMwVhqoUor5Id4kopnRbedyprBLjXVjrIKrF
A/r3j5+u5B9n+ws16ldi1HR2liVZBnEZqg5mJv96dq7WqZHhVepFBxfLESwfcHqgc2EKGtkh0iVV
nasmpVBz0wBrvBSJnEHEy7p2S2ofsekvQhclnDPg7Wxqwej8ZuHrhGBRkVrvVDs+5Gb6vwPVFCV1
Xv/N6Y8X79vFxYEJqphp6obO7//r6RduFeJqLqmXweqyp2JIg2NO8rkdGiO3flDlOQkj1hlcs1ba
p94Vq3MlybsYH4694qk+rHVyu0lkOOLAYBO4uKjMkYmYFXAtiZZNYgcDLzkvNk1TXmUDwxfHlQgV
HJmxmWjsYyG6/JvvNF7yX7+TIauyJJqWyXeDtPPrd5IVH9vHIFIu3OjJqijpU9PUuwSYYwIuIzYx
PEnD3qqVlllItdBJc2GrSV5Pjp/TrnwzvzO7Pt8ZsbK0glxC7kj8tw8yFoTqVY8KajxQdjsLn5O/
P/XxofnnU+fZUXmieKqUb3dTkhEM52aWfIGfa4u6EFx7adXGeYFxkO/Yhtt4O5xb0Ov34aGpo+4Z
X7bKpKarCQ2yNIpf8DUYObhDt4SzjiNe2PorBiV2zlfYCYF8EBrCd3qD2Ce5SLyTKSgLNDDijpBB
yrVIHmzkbRZdNyNacm8wnFQ98pTJSOeWLIltjmVrkfsD+Bbp8EtGL/5KaLN0bSgnzU1FO1JT9DTO
4F0yDFxzBxVJLVjSJu/do+/p1mGahHhdN3q80nSvtotQPPRd7m80n4GchPOE6gD6tm7aP1u4DRN5
5j80QlofAlJaFjQV3arE/RGDBSlYQmtuTtNcG4IEBxWQnyKUV0WW06OYOxj6WSszx4i8bfGq0MNb
fVCxTelCCSKhWmF3U+SbrhQLOD7ZW08ewyb2y0c5Yaw6dKZ68aRsrcVlsf7731v+q1tVVwxN02X4
ndArf71VzdZU6s7w5Isg1/vGIN0kMoti5ZRw8+pI3ZiGfGRAjWdcX9556FYWYUzcdEpmDVJVRzoQ
MrWqQUolqNF7stwuLWFkmCzOFKtH3o4jFd4I1sO/Oe3xtL4/YchcLN0waZL5/6+nTSA5JG+tkC4D
VSsabu/qhvpJMci9lfXYXOYE5PLDw742DTM5qF7J2D28Ka0X0RJRZYr+h+mmxbo10V6W1DgF1WNM
mycD5qG1v/r705X+4iorkqmYBkRZmoXvbXSDrDQkcVjCZcjMz2I/1unCZ7+N9h4FQggDCZqSxARn
UPfSkIR7yQ3u/NCsNn9/Igo03u/XTZEs0VBNkbPRpsf/x8uVlzOsW+n/ENlS8WriV8IU4iYPJXVf
ABwGOjkSCqJZob6Pm6cwTdQbfwgPrtxZcBRl+TRdSphBZBm20bFIKnU+9PgRMZAN5A1aq2xWlBJ+
qoGw58dpKbUk66aLjY3sN9cmVNNjkvfb1pFwjnPIsyiMHLc9Iem3QhA9BiFyor//qvJf3CIQhlW6
FJKhKf/UkiGPTK1cdMRL2fk/1LoNdu1oqwXTy5hHgUZuWPihp+YFdCBYZE4XPQe6cpD6Rl9gPzss
s4Achh4ruY1nyPhfxvi4DEK3GjConecC9IW/P2H9n1/khkHngncG/wxNHn+7n34bKSPhW1Aa+VKU
lTmXiTxf0UivBqP+kfWVAf6iKpgeIXipjVBbIHFPdzEZltjMyPM61M6SRxVYTbsfmtmYe4nEwTn5
wc+qiC8TL2DKgKYSbghVOLVoLkhuaZSNqT7olWuuRU8pYCnhTZbwF9Z1qeBYgiVpjDJrWYgKQLRk
xPs67uM92mAFg9udIXdX1E3mvgobAOAAmo7QGTFyrGUymM0xN9FPC415CjrwQzGRz0npah8CfLfE
z6SLUBtbJajdbRpIN5LlKndxJ1B/l1N1q5W4thEJcMDFTtjGHqHA45eSRz333193dWwrvrUlhswj
IUqqppBM960JDCI8uM3eki6WlY3mzkNz7TF+2Q0MnNe6oHdXAVYa+rI02vf9gJa77Tfo2ygZCHGB
phT/irpUt4MprdREONY1eTCaSpZ0ILrNJoD6iN1zv8vcu7op8eAyrWWW15TW0EDBXaFvmPTqjZtQ
pGgCYqiFRL81TWTneIAPSi0fUL0Tb9M77UEOVeLLw3VmptENPqMKGR7/j7Dz2m1d2bbtFxFgDq+W
qCxLTjO9EPYMJKuYc/HrbyPnxvXCwjn7vAiiHEUxjBqj99btXZ6guJi4Dz6MwqvC3JEgBkq0Ov99
TxnO/7CnAGT6NhAWz3b0f+0pbTL7wcWO9TRVxVe7JvKQ+L5vEqzpua0NewszDavK2JCXlub52VHd
Q9LjMiXEqTqrCK2MValrYXlq+9//M/ffZYuLbR3mA4WkgYvB+Pd/RtqqKXSp2qexssqzGGV7Dxyn
IDvsLao1dPseGcnagkKvUoaWhLLvo3oG4OtibFwP38qSAGoUzPbO1Kxr4yOkSftBv6gouC5Qhk0c
uRlmVoyjmGDSHYlAOFr7hFwT6xCDpHsera+jy31RG7GVzRV6Nul171pBzDLjnwJY1z7PnDosbQCl
E+4dVc8BnD+6ceAEcOEsB7+FWkQnTH2Tk58yRQnSnDRIdoZXNugRpYPNaWGG5/q0HYlTwcCpHqV8
F1L1FyRN+PrsLbUHxubS/CJhge4Gn07tUFX5LojHhjDCBY8Sm8zyiW8JrbSMt16RZv/X9Tewg38d
LiyXdE4oi6uaaXuu/68L2uzLwKtTFT9pcoRWrNFWhxRJf7lIMBNrF8z2v9JoQvIzkw/fISALrCJ5
7WaNQQ3dJQL3PnyYE4+OgrqNt3Set3ZFkDel99HzcGYC8VYdckI8TML9yNqYtY0YQDEGI1OnNt0B
yZV33fjedbXxjHMUf7yrX/vyLgJ50wc8cOwwfZ+I5mfaM4eB0zZhwXMSYgdN9yXvtJO04v7BFCaZ
yXY4DQjJfE5p1Egp42PFWxps/GClWJizOIy544gz4xDGwNkzgX0ZjX2qpMENDi5+SuEzBagSdNiu
r4q93tCWzyfbBBLnjRcL+9bl7zOzf5pymwDVCf5DGkUXI21DXU7y5pD+lpfAdy2t8fZeVmwrUrNo
vupFCIbMOMTSfIboCpN9A1fhUrjjAi0SXw1agYgraGIDvgAKgUiqmZF/kULZ7hMof/Dc0huoZmQY
ohr2nmi9Pb/WIoBLME8YIxZjPTNJ6Uxiq5fMBSeKXqzp31RjGMceb88GEgGowMmkM6+pC165PGza
sA2oB5ponJ4iH6GfIXryp3xIF1MUuAhd858zMwSARwnv07EfJ7u/aCjEb/Bc+ri5WWmyZF23JJNa
IwpDwqEfcr0rSayHpOUMvxFUI+YCAZgPmb53/Qixa49ubdb6J9h3mOh7zt4q934ZQotAmsDqmUfg
qZE+PIohsO5DJ36gx30vfKTrWNzcJ1VAt2WtdBx892430TewnhiGynFnl3m6bQwOCGFrkBnIZ8LO
me2csv1lZ6Z5nLwZwf/g6690x49lq89nPrZ0o/klgFVlHCzHijeEOz2SfDsz0mMUqcsMWJVy7xWn
ymGqgu7K1Kopo31QJBe/7H8jFwdn27SCyTq6A9O12l0StS2hYmn7mGH6nfO+OZJxmp/NQIW0MyCz
RNxvA0BMoDfG/BpV7bVPPYDGtj89eS3gjcrUNsRvjjscyurmZwA+cz+pQAkmZKFjcsWbmwPeVuSZ
DxGrsHg+EtUtH8fsT5lxgk2ZFxwMAqjRpF8jSq4ybqersqJ42zu2u01NDGUPNRU4F2TiBTXLPXfu
0O/HJkAfKJvmRpBEe7OzGT2XZbJbEz07Nxk5VCUzhm1COx80xfTF5qcumg7WrJo1/+uk8f5JdKpa
ZBJytvV71nX6Xc1qvIujU6BpTTt2UisqEIY5qKQ8IH1MJmn8iOPl1OErveSJ+94TkRY63nxIu8m9
GRlKvaxsmec66Hljn7hXF614aDbBTwUOIRusHxjftT0BedG4nTqiFj2O/JDZGmKmOeZam3S/vU5M
j8Hy4FUIt2ufphBrO+8cEauzH6bsl8rj+D53Y3fUzOhewuLQ6tl+xT13bZoovqauZTz0QTMcjKT5
ktfSfHFj85xgZ39MUTPQe3gYLFMy8veLj3Sef6lI86CJLwKGLhgucwXccuZKSXAuVE3nLalYC8k5
QUZgG6CvZu++1jKxSG/tpKWPkdcA3Y0SspLyaL/AwlALWNR3Q21vuBC4YdIO5Wlk7Fe7RHH15fSD
6L1TBo7gxZZ2GOEtCAdr/uYkCktbjXne6GvE0oNXvo420CuUdpJANq5TyZYYoENrovPxkjZC/Dls
LRcBb+eSU2EQg3xIBu033lLr2DfR3SpLdH9Bb78ZhvmmJfMUTn5Ukr9Imiry7JLx2edTVu9s7ycT
KwGr2RpAGqPF1em2bpqr4WR96guG8r6cd/YyxXQKf9bDeeJa/XdbZyQLXQhg8hIgVS/T3fUhmTSo
fq23mzR2a78OI///QwMIdrGbeQWJWqii5zb0fISqOkM+26Iucr0InZ3jqVO6PHikeUOZ8B401xwO
tZEy72Nel4zDsDfN/ChiTYW5Gt7/vpykl8Q15b7qiv5E+kt/ypfBcJ+Sxu7aaLSyOm9PuQ2vjSX9
IZ0mheVCY2y3PiSG1Z40nYeOUAk3H5sdExdmKEGrQpA0ajdCPY3t+K1x+wbiJp71oEC8Inxmo5nK
uAElSbC1INuevYKTZW4G/aGa1YuZcKFGfpNRCp2KfnKOw+I0SRfzyPrwr815FKigCOqGTNGi4LCx
PQC3/WJqS+zoIg1YH2Zv+KfDEN+JfRhanNoiqVlG8sC9uDqtm+uzeCTwFB0TXxGMOhqI4Mgei1sz
GS9iyRQk+yYmU8PT9iMX+62ZKFxaJopf3PV7ZnyvxgJuG+K+3Q5S3fVUIB/xu3NTl1roGb/1yr2O
o0Adq8PqaTz4aNKH49cB2gNlXcMltl0GifVIsMUIIncU5WMWvHZdk+5iYmRCzczex6Ddgwt1YGWg
9ugH8C3IE4A+RhpwVxBeiaMeWsUsuQXx+gBWmx1Fv+I0Nvof6NDvgQnNVvM4PRNWuLLLjo2A1NKh
tmqlvY2HkTRtgQxPquLogBXza+79Gakbh7R4LzTw/z58Z9D2yLOduN/gibqYU7au1TOQZdqL66R4
UiLCf5u4cgjQQ/RGWOiZ1tBhNell61RotdmtrjluX8cgxga0vrSa5NbvW5+tr31+79+f/V+//Pkb
nITmYDdohIutvsLPv5mvE6zPP1PVOqIXQML/+N1/fYRQRbMl5RvD0GJ3/PzlQDNw1if176atTPTS
y/yr5PI0Y9Ei/3icWeutf2X9yufPrf/KuinjyqTmR1YfK23rNKJHZzPthOAMKX3H4uxjgeSX3S8h
CO2eLKSSM+kk5t/YrzUNbHmYTZMkZaGviRVc8JWxMxWKMFimUCICw9z4QN83wsEApbvShxNOpgq9
cpphlfkzEal7TPXEORXII05kJSxSMPyEIEuSl9H3OZPXL68PPeugk++hRjNrFN6wjVJ7s36Fu6Bz
UkKcG0Em6fp960vrw7qZOwUydcfZtssvWV8HQ/afZ1WGjJrwCtIBll+0/gCVPMojVsubvFL+wYkI
yPG17kigwXxyGm6ekaa35iYjQRkannMQ3+IxenFyxw9XY1oUO8zb16cFjpx5067OtfWF9WF09Qop
1SIqgt0l0ORZSK0XM9n6ECz6jc/NVYrkOTYDzc8XV4Pg5+bnz63f/bm5PptiFPVB63ONGdHQbEm2
p4lgLoentC1/Xmr2V7hX6e4fHsU1+mx9KNb57uf2GuP4v26uX/iMh1w34zUY8r//COXAgJ1RkhPQ
0+v4G+yY5+Te/306WxM638+/3abQHh1uOQ7eESsx4XD78ED/hlR+ftvnH10VXp+b67N/fd86Dft8
7R9vfP3Kv35kDKAoztY1sBDP0T7t7L9/fALdYVR/czCrCJjci76M5aOcuLLDumcqCbAcGrL30Oae
c1g/s89PdN0MOkLtkbIudti/z9eXP791fbZ+vGkJ9ZEmy/IDw2BoSzR7Pu8tkR6gJVP3j3NQhW1f
bmsW4qvirIEMT67mcgRMsynab6tLMlgvHRAD49AAYUX63AKGKSCItxRPhTn95wFbIEqkz+0IqOVG
a4EfVgYRd97ssMJYfvVyeVpFcI5pxPQlonOmARlxwL+muj9u1r26fi4Nhe/OrMvXilXd3xBjci86
SJLo+jswNuzAf+3+9bV/fETVepiun94/nv5NBU37/offxz890gNOjpOWZ1XOEw48HzVo7RVP/RSd
J9h522x2pudSSomBhxUX6Qo+mLJdKipvjzRrIbIyw7Ql9hXUYUlYgbfZD6D6NyWl5IMw5+bKCOI6
1Wb91bmTdGxd/OIpMjAUSkizxI5heSljAC+J8TEbrf1Yl/qrMxLCY3aPvdSXdFL7qfYb80Cj5SPd
pa2jHm1PZiGMI8A5GVOitm7C0qxdLGLJ69xoHiWC/QpPXEBN9j9KLlYPfSZ0LL5DEmop93ri3X7U
TWHAUxm9zWRb0VFX2jmLKlpjrv4jSHx3N5hiPnQ+4lUZzyGxNw+9CcazjLvqJud61/QgmSM9AnU9
sqAne+U9nacfhTaU51TQgdJ1Fk9MmAjrcwN317QInS0JnXqyyumIwOnnzAB4N8KEWxKg47vehgnB
KYXdPIlYfQEi6h1V4f0qolzt9LYPsAuOI5zq4JkE4PTZa+d6Xw3ibcjtLmQ4DK5NVTEIodIPRT46
7+ZAw8wy5njfxulx5GSAEUi3Kk0yQFRpiQVD/+ooG1xrEQUA7iZI83oDmd8n9KcpfmqEFF2HCuo0
qLEDfVCyexh12rObHLM0exTCHY6ZK5/sQM9fezKUKIvsj8lU+pcmO+iWU56hNXm7gNyjLXirfe8O
PrXLAJ/Ij8NRSW6FAuJ2a9Ez4PP4OXsWoS+Vc05hmxYRmm+mQ3/ykj6l1DGL6C2uHIegmodTzhzo
kvc+iTCStZj1OrWN/57FaMVjszcPRhlne68GdTT1F+lyUXCMtr4jPOvRnhv7rDWCS10S4NJpE3V2
NGM2GW6DIsfbMyb1nCbNwenhcXlO/2R2wHomSzGjzH15jru05VATLPQQrmm+h789io+FYIgpCqJn
k2zfdwgYhdz2g+1fyDP4Eg+ecSRs+ViD69z1ih6i7lQEwEWSnDow++dp1H70h0zaT1jPg0uWwA/W
82Q4p8aHpmkEMA6ME1QbE5w9dwF5NzU2XJckzfuA+c/EaWqm1WNAE5scW7/9lQdx+igC4wvzGypY
Vug7wxjBXDrl41RzYKkRB2bewIlqvJekssxL/j4zcv7SBR9mpZ5VWkRPRmr/sGp7usdT5JxKpa6M
8PJHxxNcxAJ9ODblpG9U2X5pABm/mLW8ZlDHL60+/ST2AyJbn7hXpeXjlsRnheedcFuG66/wysNR
F1MIRqE5FG2Jd8BH/FzD/PA1fZ9a02WwFfOLdDhWzE3csmjOgzEHoWkK/jt2MOYrWwPYO7+JKkO8
PT2IyMRLYAEej9snP0/Js3NPWupktIqZihqZR4mUYayZ1bRvCB7YM7RB0T/Ar02g1uOBccs96ZGg
WhdSX5C6m8KxJtqaiKlkB6Yf6cm5g7g4DSY4qBY+yGCSYg1NUsd/PmNVi2zrTB01bQqAEgejtjZj
5W0igvZwZYlvgN+JJJ19jA1N900rSQYxB0Cdmlf8Vl3xLam8Hd9S7CwQ+4zu+upcE/n0jPTgxWxM
+glskkO1YMqoypjFfwTZbDwWlf/YJ7I9Kg9HKqvix64irkAl5gZya3qS2Qw6Lfd/mnr5GsCD7GLl
7+LKO5TOfBV59Q0o+aPrNNNej5i1BtN3vZPGtkRKE4qgiXD8YU2zfuviOBpB824Q8l3MVy3RwqY5
Vl4PcEH9SD3LOpaD/WM0e/fQi+G5c8QfR4rmgOX4Jp2Sbm6ebAfWsq/Ec5H25anmmKtnH+QbLncX
nqpbzC8jBOnJgr9ZWC6cAlatGeEmb4apHzwwiJkwXxPL306MAy4O9IAHJg8Y1DQMTsof9LOK9WNJ
3ufgqK8gKNqwQgX66AyFCMm/Ckg2edFHu7nE0PA2E/ZlSNr+XotYASrNwwJNP2rBA4GyJwJBz7Sr
Qzpl11cvZuvT0rKwoPekdvmpQaTq/FGOqnnyadcRQvBCKeeGI9ODKRvVN6uVV8vKLnC3k5cgdsF4
JAKNb9tULYkbyZtmRcOThxEwnQPkP7PbPw3qZ2razYfWgjKsamjIneSgpRtZsIwe8bV6oNsbErjo
AcnqSXXc0/ysrdB5M+jjhGgO/fw0dGjO11ciK27O1lT8loIIN6Tom1zhDten4uLbjgadlhrKnFP8
1BEnTFWKfVrxd2wxVNdYTPCYHCT4dQ8o3hBSvKnOfWjiEhKBn4sb/GT8BnPOxAM+4XacittEiCDp
FBnuVMvatK557ltuDJ5bESXbqV+u05EQYZBbqtJ3TW+8Y1wsl22oj6EqcKk1FJWUXk1AjudE614h
euiJKaKGuntutz8RiekcJx98rz7UUHt1W3vJsJL6tv2nUP34pXLESepuilAkS59bkK6gmmI8+mK+
J4F8txJVXtuhgODEnPrUPWkeQ0AXoqHgQr9n7MJS3vb2tSpi+t059zC6oqZ7HEp3fKO1wuGrQaRs
HIvwl9g+wbxcaqXxnea8vs8ES3i/HoOrLQLEQ7OJ2UlOj834FFff+ZPzcWQv7JQBbsol0knpCRYi
EkWY3FtqE9m0TEm5BgNeeG9dKSkvNOCdeRN5D4aUX4GWRkz0zHmTjGa7a1xFa05ntltF+Cj1NtnM
VKrfbDt7G0abCpYWaxCBPlTpCHw0mV6lU5iIy2y5G8f4NjV0P4XLPyE07J6pnx1GS2HEIb5xwCBw
0t13hnfGow5njx0JAnD8bhWtEbpwK2OYhw9wmO2naYKzWHfJxQvuUzy4W7PIXsqYQ3lIfRhHBpd/
ShiOCjXfjNkSp4C18th57Y24gTYkXfJLyqqZDvKcvkZuf41BZW5qR837WQUApu2DJYJfaT1le33g
dO0QEIXCw3wqO1AAZDGI1saVZf+hqssOgTl628IpOFz66jfDnGenN/Vf5FbTSA7cr9y9qlAqb2vY
6KqqzHtL5nx+T2I3wjeDFbG1amrGQfoALTDXVGat7QMPSrTmjMGxjU/cQvUvel18eBXA9rQdT1FK
VJ2ysXfD2+4vc5wEl8rNb4YLxZOYeoAmGY6JVrLSaKiliSChjSy9J61dKq8IBkHUy700/Ke5LppD
t7RL9BmPn2lU5S7L6mo3Tu42iSGvtoAFH5J8RAAhMBxGUrjfidmEQIIp3clccnOWiF/4mIAU4PpK
OeqHTtbQFWLr7he5f3eKcU9CB22bMT0zEjzQyqavYs/f6yAvzzUXA+Jg6q3R04YrSf4FG9lFp7q3
nonv9TeZ43aHWmupll0JZaOAlC8nBnYZxX6SQUrRA/OCKIF+sT1hd3mrPEyHnd6BB/B0hEiBf6+m
QJ2kqX+f8qzaZgY3FI+hajENF0qFjv+gsg6VN/2qHeM2qV01ulyrcy861zK4owK9mQbNFqPGxDET
ttJB3Ehzx7vXovxeGfKc9pW2h5gHbmuGsi6Yvu3bkX+HskqgiegGzEX5s1DacAwWIPKk+X8oeKyz
1mCHagJ7Pk7GeHS5t91MIjubeqSqGPyCFu707rYMYGycMG+OLm+53Z6mKaJsctt5lza1DCXBeH5J
6JBCUwY1AYAl9GvCBH+QbeP9LuCZ2+X31NInkoj1G9ma34FtBzcvqL4CjDJOnWmT31u1inpzjJgC
OnhRjf5M7gj+8BSpX1IY+dWtWQFzY0FuOeSPaLFOyfI7c6cjVQEbbWC8Dll1IK0yZ9I2A7tJHEZf
uv8MyTrMVO+QNNM1G6HQziEuzPc6roq9AeQ4RG37h974c5IU7KzS4+ODA+FWLmSr2PhejtGV8qg9
+Za7b0Q8P+opaoNmug/y4sX599oejbuJ4QskZl3hjS7nGxBy96Gymij0QdRG8H5Lo7P2keruqsMD
I53oVNovbp3ZV6PrnA0E4/JqJsRJgVeRpZtegyhTJC0Uww6WL7xtI4EbAoJnlWfGaWaGtpZkO66v
G/olLUMOp2EaRKBYmQzgxpZiXGrT48dgMb/pBUZPj9tonuBs1nXgAKr9iV0IvuaADdIfD7rfzsfe
JbSIvYD9PSU5xErS7XqMI5PdyjivjmM6/kGGuCf+kZ+VNtN+hjUPk8m4GlgoF2z7XPfZ7zrG1YsM
R6c4KuUJkxCh0LnxDIn+S+JrF6Y0JXGJP7QKoaZPyModQTQM5pr7/fogEbte61x9HaXXH6j88suc
Y7z3a9ZnRZKDJUaJlAEISWyVH1jevLawiTr5rW1spJIBjvDIrSLgJTWLNFi2D+vYqTSHkxgj6yqi
+st/WgOZZh1jqZ1LXpzkhe8bdgq56exUwaVgPfIgWDhvJTebgwz8X0z8D1wM+nPdyqdaSuMcC9fe
kU53VpbHB6472tUOxnkT1aa7NSbtGQ7Tb9bX7UFTzoc5FVhJNSKux6QkSldj4e443xjwkVUqkwBB
rv6rnHELenOh7XTbac99D2eX8+ZQDZitkxY4EFOVaKubYL4IlwmtwqYvVNKDt5sMH/BYyweiJuoj
LWDzWHdsJlD40BEo2FjekqwICi9sCxBGgsHHnhUxOHlOLtD6VXYuSmKAVT7f3SzXiGyGstIwuynS
unwwAhA/6BNQX4Xt0B8YRFhfnfKXPlMfkTx86ViNHanDv3LMtOfWeu7oajxJGTxqFV2aTicLvk/0
6a7AxHddgnPdQt1D7ob95ATE+1oUN7Yorlln7Yo4x5aq4zNmSZjs5iqgRIgW+D6d15MpCCwaspZ6
HlkXfr2827Z2+hUrirw6DZgVJ8ZcToMrDbPEC/aJ0iEG+/a41zzqzArV75lfpuyIU0zV6uC2Lmq3
hkAcbWmQZF37q0qH6DpV8d2Mh1uSRsGXaYHvZwV0Y+67cLMrmPHEcJLuZ0FFICQWlYOdHwKEgqHl
ZejknD5k6ls/5hm5dZ20iPxSFbRtS0zbEkY+mNxnUid+lyMz1rgtpr2MnP4S5DI4EDyebYrO+KO1
unX1WiyafVPfRiJEtm6anmaO0s3U+P2hcBmfy2W4nUSZ8ajlB9mW4FYYeSGE1PMH5kPTqfSC8Z7M
AsbSUWnJeBtb962qtKtrqXRnewYp3oF+RNyhrp0I7Icuj/urF2c3rW70jbssSOLaEVBG+69zn+y8
QRJcOABpyANgYHZvvo1cEoPOTV9JVmDwO3hklIOpCXBDNnb20zSDmPW4+VI7WgqKBRWFGeAsJsop
f+pdKhIyYHcR3sawJG2AyhyoE+KTO/JL6xgtaQ1ZlYQUYy2Bb64AG6OcDWodsUVLuSwZxh42suu1
RJuO3nA14azhSTBDgH7RgTQtm14Wg/OxgbTW6YrV+lKUCMMQWO1YIzC+ZNJeNYc6QXw5Q+ELCRJ9
tRzgWBFjfgYGkUngBF6MTp6iKSHrO/K3ttlHe9EbOJEAmW7azk6Z3+nvARWUUzfsY1l9G6TUTr1j
imfDYhhShb7dqM1qSfB9Fi+6DbMqqeJiO8Txh+3IgTHjc8zl4jHRij+5gvZhsST3JSi1NiFSRg0I
Ltu+4Lo/wwBtWOptmKOQOpClp5h0iA3xqOLiqxtRCAXrRhU9uFiP9377RjRkEEo/1Y6M4C3UTPhZ
u8jsTvhJgVHktneSHdygDJj/DvqBwcDJ3nFGFwglOVEbZnmRdjOLidFVY4ex0PuzDmzNSVA3Zfe4
m5JjtVxmRwVMqvOSal8O9YvMPB8R+JWoOfeAzht+QmHv/vbX9PZZBFTUTRWom5pZLjRaJnZzEX1V
VVOFsemD/8iqFmTgnbtRetFa79vagsk8KFtOYhoH+d0qM4NpLoKgctNxusHSY4g46Ns2lv1ea36n
DZFxUzra92IYfjm5CxcpGsNW6Cj1M2K/vcl5cdpC2xA2iGyiBnPjlsHTQP7wUVYNa1ZriuiSVn94
209Wnb6RB25uW1qmGwIJWElWDsXRQBdlXCQcSaT/ILlXbP1Y6shuO9KyLXhfZlK4N7PXQYfau2lu
UhIWGKAQXzfvtCSqDybRFZBwqKyhj2fPppG9+UP6HEwxVKY4nUJ7oABx9SHf6QG5wmXuPE6t158r
hgj6o12S8+JU1u8eicXFyEmWMUS3DQLUE6necLgFLiHJOQStWHKHS6lUtnPqAejvDaIJ/aXAGNA4
tpVzTeSQn4WMbmOhAyonhnGsruac+Bcrp4+UQyDeOWL+JbUm3uR6z/HUzPWxT9OImrv8vYrho8n/
KCqSEAAXuuIhcfxor/MmQwIviRcZ1dYx35xpGv+Q/LxRrJgQx9nDYTA+KLhS4PImfb9myq6WX94H
N6XZWGbWTpTIUyVn84Zu8yYf++Zajv6FuO3imb4tKIXU9bZUU2+dALjMuBn1QOr4FwRH3+2qas51
jEei9+w0bLLIfBBt1oWqblE8+BOjj8a9uBF5rHqOJkkQSjUAwkyLgNl+EEOoYiSBVBd9SFEaG1ET
bIKquD+0unGZs8q+RsiiYaeNtnpRWQL3JmniHW0l+ERL61HENaCs7m7KiS69puTO7sS3msUwyH3t
y0D2395H83mOZXVr00W8GACFsBh6YteMT2PwXHnCO68PmWZzzLX5c0aAAspN+3fCGhXhMOq5h1Er
3pV4pEouL4V0p68yJYwF3mFhJNgbChm8VnbwknEinOOWAKo2WM5qSTNuymhxAf+/oYRrb2blg3zQ
M67xoe7TdtUw2XhB9qcOBrjO1cyNrK2ulsz1M0MWMIBzQ0FSJt3JQfNPktilzvrsLZ2EfGo+zLbe
F2SKv3F3Ni7kOMGiIdhFM8WLjrI+zA3FyMaw1TUwiGmZl+TAFgTJ0MLLX3sLBrk8Ta0d9LFKCXBH
YZgw/9D9Jj3ov6ZES841bu69tLSXomPL7J2t6ozgqnJ51MrUQ3LfgM40zB9pTfaCkYOOKn3gf6NP
lzedzIeRotazCxA3HagzPC0W2dg1SVs2FAcBuMYhE/OAQgS5kMrpLeU+rACXxBkWI+5Wi+oXvcV1
PxrJrkss77nw1N7q0OqVvvGYF/JHNy8KmqFqnwu55NmORGOxVjtXpQN4sKBRaKRld661ZF9Opn5L
ivILu6AK7ZkSXFnG3Up4+wUTSlCseQ74TbiES4D2taiI92h0AUvSYSGAGMmea15Upn1o4wBSza9m
EIQNZL30SwdM/5BEowI34w40VtNrVEggLmQEXTKfGJdo6vPHRn4EBBSlvpm/C66mDxbyFRw/8bWS
3RiSPyZ2jiG4GrlpuXUmTBzaaFjfHOhgtDq+yjKLTlmrvVpVVz0StwDk0jaiPTgB8KTB/NRMQ3GP
JlCOThcOyQLldQp4aEkkbrDQoSgU3xq9ak8lljGkeToymnQe0MgWHaG1lRkODusH04e5NzhXTEcO
zBz5M48JlS19pd0Y9r8EGaMP2nXN47Rks0ZkwjXNC/ec4EHVuXduzTBq4Q5ouDQPQ/BM31u+aNqf
THXgv0D8kvbOUmes5GWiM3LNdOK0/TjlaBNpcnGldRN2Wd4Cw8sfs/bt74Y5cFwgyYaqgmDPtQuC
sCwEq1ox2mFq2+xkFmevqTlykBgxacIdsLChJ8VqbGbvsBouzJEKymxZUTIqKve+jrxRuP6lHhhZ
mbFWXkYlvvYjnTzd0O8lA6s26V3gqrW28YhAohNlHtaVIm8B1a8gerrt+HwF13vf6RDYglw007nf
eEsGfQIr3JjEdHdiVpxx9NQkxnTjP6BCJ7ImG80slFE5hWh+9yUf1oaaxtiiDvWu7ly/zzkcl6lH
wlHHC2mykd/j5XriedCh6k57iluiMfRBTYBpPAiV0D8O0J1DFtVPWWGNpMXC+K1HkGj1MnasWm77
Y4BmzyZ7u1gq1oKyGEmMeKh6bg40u/wHDf8F0TGSsrQtz1BUaD5xH66hmJiJV4Qias+10wdhWyGb
Gwb8ZrwnNIndsPd7GnLxZIDtZ1lWjz9pYMqDslUCkjf3N0bVEGeTIue3zM66VKNxrvRZ3FgnVywF
UniticMsoqhKzKJg15rOMV5p6A90uumxHhxvVK+2sMVTzCVrSeMYdE+9jK3Dd+ipj64MCkW1lGdE
t0SzSRIYStNZwONRRBZso6ZHl4OFRhmJ+epZvFMkvLltYq+xaPOOfvXbtaR91KiLH4ux2tCI20ot
dX9YeBQ9wFBeb3VcmHr/bCwXz9zT+4PO5wbZZNNUyqX4MyS4zrQ5mKVH/y4/D6j5cNEmDhrpxT6Z
0iJkiHUq45ooPfoZG3ei1dt2ojtVyC2YabpEnnWQaFhwXRrX/Bq5P6bY7b7wYb2lo0+cXtqMD47V
oy5wJ9ademLvEhv8kVV+2GY9PkY+QQZBy/qZBVAVBdQfbv48JxiSJ7JmnL76bnpaOObpS26O0Ft7
t7vPZX60/x97Z7bdJpdu7SuixqKHUwmEWlvuHZ8wHCeh73uu/n/AVZ/z5a9dNfb5PggDJCu2JGCt
9b5zPrNa6IkhEXJLZ44YUFjB8mDtW3ni21MicIiVIt8oWnwyp8dOQ4A+FanNDTKdbotwRKBlDN+I
leBN2r6jFOpeYqV0TrXvEnJcLyDdhqZExbDZmQ4dzIDUWINop0Jw55AT/zkLW2JvcI/kMhCvvJoH
N6oJ3LICFMzprAVOM6mll2eUYNvh1E39cH0MECuddHIqs/iZqVPlIGaGo5vUwu2MeW/5Kq0SyVAP
Sp49IZUeT7Y2DqeJTtHY6OqxG5LqUiNY8WwLJCHJeiehqNlp3Sv0Mj8NifwcVGQf+4S5HAMSZI/r
3jiTojZKE7WktLmY5PEYBkbbVkcnUMv+tFUUZGNWBFJt7Ir7AfsQnWS+5rwHSzrG0OULM8evkEAz
n+D6bCsTG3sdWNpmzMMRQKm9Xe1lOe3Vhzn+QIhFHpNvfGtYr4S2/K0cze5eTaPyZA6Qy9qBZG5D
Mk9qspgKIoqBTTFflL4d7tT4DVmi/tBqiadNdo/ArBPb7FSUTefIhaJsk/ZXEWWvITN/j/YDVV3U
6wzKs7ljbnukZcb8K4uOUTC+aiLjNhdao2NbKovILH5f9RFjMFGeHqLqMmsD5MBAQV0+5BQyLYvE
57B/DO1YOUshd0rKUO8df0iMVm+DmuKX3Orw43Qu41oYi16lPfWa9pzJ4z3yPMBX5KLH0Zx5si85
k0L4lj7rF823CsDTuHdtaJVxNLEwtPpTTbvoZPvZueyCxBlKbLxawaxbbTvsGjbAK119CvC9A/G1
DKely031lNGhhV77KZGtlZsIhvluTefIJaukHZi2BK1mzbbER+ei77Z2DZGG22hQJVihIb3k8rFL
rcoNLO4SufAxntOdIkoL8nHSZTB1RwrmtQ13PhxI/urrJHabrOtp7RX6XRQZKfpU/RCTTq/4T2pD
3LHO3X5rGyhSIjOlNppP70jDq73Qj4EkGRdKWUz7FcmNGqE8Wan5M6vQRTFuehmdl6xrKlTvVoTr
kprurOuMA1OxR1g17AckCHlI4bnq9+ogxF7KvmN0Kby+iG5DCrKgxuRm3zSG2xiDl3Sx+THsm6J2
h3no7gulvrXChcmsS6kzdNQ/AUsYJCb2hMUltsxMW5FvK8CzsYZtOSteCc4FJaBpJvcXskOVEpjQ
4LPKMxFNTHZeuXs7bfG9GOa4GwMbLqaZpZcx7z7GWKYu6ScHdTKfKpkWSWUm0mbUYtziLdmIbalT
UF3jXgvFMSwbKDdd25pA+mOp198CVdwopCheW13ZqdEQXBpLvk5dOFOoJVebG+F0DAMM9SIX9MPo
P7H+I3lAH24kzRSHem7uVz9Bq8mPCDyLAxl09Y2mxQ9xXfT7OTeeW81MWVqbEy4V6Yc+MFJkYQK8
b7Jt7DYDNj26TtB1ZPWct+17UFftKeqnRUCqfxqf/y+N6b8RUQxbgV/yH4goEw6hPPgbDuXzNf/C
oQhSl3RVpj9O58o0Fyf3v3AossxTJrc21caebuLSxD6z5jHp5DGpGncr2xAa3UR86P/MY9LEP2yb
piGcDZV+goVF/X+BRPm73RKHJVlRsqYSCaVo/B51MYr+blWelSapbcZ7tXoF+IuWaVNJu3xEqnWl
pvnbJ3P9dOL+TjhZo52+DLr//2/7w+xfcdmU47DMLi5kaIJ1fy4o0eJUuKP6ARNVh3d6Ci6qx3S8
3GivpRv9DLzogDG229Q0WLbheXiWz6NjHsSGpdVAFiqw7sItTv/5T5UN8XfTI38sIBq+N6h4mg2E
5k8n6iQ3JHwjracqLJA5LtQ55hIEcQzqArRfMjn6AP9jiaQUh/Mjkjv4qLg6KE8szpF2Qdute3FA
hz4Ya80JGW2cSqMuqnQRZNllg14p3vmaeKvKfDxKSzgJsjzKKzGhtutjuT+QDWBMpVPFgBuTqKFT
VlWwDa2Mmv8Xv2lVpuYI6FxNJrlVXeSlkShYUq0j0Xrc/2XgKEV/zREe7NbcJdae87aQy4jCD8S+
r82nF8eMjV0ARHD12Kwb9AWyV+rB/uuhWoa5Rz9MTjZ8SDYNGnw3YmEkditNsOtKqC6jGWyiRdbN
fFzZ51VJNwZnyGeOlLGmSa0PrEFSs9YTtYtLjs5C7Xtq3++KxUuz2kL+sIqsh019LuDKHPRmQeep
IfyLJjSr47qplj3aRtjxBKRQlIekwS4unk9nz9dxoaXA/0f/pQJnTsFL8Xo5aY9ZTSjMrIuLiFp/
tz6EyZWJJ0gTw0Va/c0SVXMEhfPL6uPKNZaj9aF183UoV/GrTtgqa922+IzUWjOx4jYYKVIv6Mz1
W7Hq4ExXIvLW9/tliPH7xRCzPiispNxlc/zw9Q6VRGLAXY9NkqOgQardjzJkaulXDYWJcUEUfr3Z
dU8m5nDP5eCunqLVTrTu0ZbqvZ5+tjVWwc429ef1uTRC0NiU6qZXGtCIS0N/XDxZYZ7yq22lJQC8
K54/D8EVwF/0lOVM0Jc8oHVvPTsUXSj7Advv+vj6EN+4tW1tzvnATviIqtWk5S84PjlspY3V9Kgs
Ask8tjZOI01foifCCtQ+BBTChQaTXfCSlUurFXy1TdhQhGmOFCxzCxJj3n8Zx1Yf2XoC93NHHJPf
ErD91/mKwW2BfC5ncVPg2Gz8+rL+NcVfvrH1UF9Cf74MZX6DAjkqMD30EyeNb3GryArOnPVw3YzL
E1+Hf/xIqpFmUzdYT7SC70ssMMkAYQM8zhynsGEXHmwQvGfLs/Oy98dh7tNKse0mclBmYepIVdJm
VF9ZqBK8xJBnkzVx9/r13697i+x+3wFMXY/qxaMzjBPx2wutclhAldOyWffWx6ZyCXrKUUnSnwgR
Piw/OMvAhfXKTt3Pp3/7yVb8lCjgku2xAGYX4fu6x8SrrF/X3YkqBjba5fl1U1n6e8iQ4TYrnO7r
ifXVn7lf64Nf/9t6KFkZTNyc+OH1k0/++vgNZAVcdsp9FxLLVDHO/i29Tc4qGysAwKD1rZkB5/T6
fteNovaJZwfi9PmsZszc78Jpuet9Ph+C3I1q9aWYxtw1YvUMqIUkHv6Tz59df2o9LpaUsK/DdW99
7PO/++01udRlHrQWRLiK6alC2o3xcpH9u//m6zEqVhZavbr9YTYFkaY2laPlNLVQ6C0i1/f1KF4e
Esv5moYzKqHlcFiQmuve1+bPx7KRQcXQVXhNfBqLoJJPYHldPoe/puXN/9vXri/7eqZYX/d1vO79
+av+/idhWw+FzccwEetUC+VXwd3MxZZUH9VQds2xJEApF6+aHwFYXnyK62ZYRj0qAfQ2JUJ1vR6S
LkLxxWtcYAWZo7on1XVqHNSepDsuG0sX92qc1bs1a+trIxbz4tfhukfz/mcToelanUsCXeQ2b+Jx
u7qXchLCsA6idSW+oSPFejm5181qLfk6/O2xZdSrk4q23+ptiU1fQC3gQ84HHJndRLWo0QlYwEK4
U8CgWmlX7JKakBxr7A+SLGhohKlHO4akCkZakfVYRPsH7VbDtfH521e0srleVpVWoGFKWIxbI965
SOfjqevEnfSKBKkIb4nSUhjA0gWoN2sGpmzLbojE93PDrFYnHSyYHYt25jhMPnqKj/Wz0VUpZ5GY
l/OhUW4+WdDLt2Esg35iNrexPceESzS6iy/hVxer1akDATqN1nvVQAoezGBvJ820t3OnQ7d/xMmK
NHY4NMsMa0QqdrTNLhOU7vx7bD4Vqz0eW04HHOjpvh5j/uBGmu3DoKBwYwhpKhO+vJ+A2rOfW+a6
0xQkBFqdilpOjn2TGR7xWYdKD5SjLKny52ZGQmfrRrLv22mPxsOiykbmhDI/Vpnf7+IpI3yyvI9k
JjiFbNaOLg3oz3PzLtbIv8MkIDurH2fdfLm/vh4TlB22SZrTFfwr6u7zDFiPIyNhEpwMVF0QrbDa
kG7M0FTwPcysnEPtPPgDvXxy+zZYQKEdoNZsR13e6EPCfBlTzMbozFtjTkevFHrPgJrJv5pRoBVb
Brl1s4KsV+7zephjC/Zm4kTzQvtRjvI1T9X+mCAYO657VZyNlHBCcooLLsKMdwBxbOab+e0YVBfO
3c+HExuD9fqcxa2j1+vU+3pofeHn/0EtA7M1nipqzgF5LM0ytlTLhnxJQqjW3U7DmulH2DpNbYmM
FYNNe3D90ZWpvP7QH5zlryfWn/t8yTxGP5CLA7hYfoNZVWDeaEwZJW5sa9mIOdf4+JZdTnaZVIE8
c5iztcf1MVNCP7sp6zPrb/2wPrQ+CaO8o77EjxVSQtxIxZ+XdjUueUu4NX3rQ97p19FH5sSZwpCu
4J6Br+EhWUxQG6yPtfXPwApqBH3MzNeH9EyWoMPYZDIvP/H1xNfhcIv5GoWJnCKY3+ActiRIJhuZ
zD1PBuqUejDEW5UIcBdP5vCSQ6UgMAAkMqOjh/zlMb1h2XEvub6NmAi92f1EAuDotYt8aYNNrTKO
+CSn+r4ZznV0s6ySIN8Hx6l/7pT3vi82YUIokJsobpg8a/GtHHvUvDIEYTHZ3l6rcM2APjhZPUJL
QnTycw40cjx34xnDJ3nUmX9qpYNlb0llDEjRpHgXHRKsdlOxrcedz/vaGWSlWFttZsTeth8zYehu
9qsKt3XrdQiPpDcgizrv/6E1D3pMzwPVA3qs5IUYBVJQAid8Isyr+i5LyNgxahCF5JIbp5Hvs0Fi
qyrbVtphqtRUzxQ7Izt0aCSgBhHnod2irIif6vjaiO/pRezKzVk/lu9ENtyMm5JLlPATMBJHfRu/
TefGiX9NO/UdIlbvFo501bkT5ZvxzfbGrXVQfsh3uTscklcA78+Vg29hT+RWeKvu+z1Cq010NV0y
O4wri07MQQfLyS7yvvxOjyFsb9DloW5OsINHqHsODVSCs9o7ZbeTmWG3TiFtfOc75KZbrOO7GXDh
EoFyJ90EP6cf4XP5qzhX55GV/7Z2s9dc3xgss5/a3NFvlMfmVXN+oqo/Hbo3/8BfRe/Xi7b8wcxD
jsX1qNKtxSiDlNnFGFkUm9h0wDKplNlhzr+28T4CxRO4SuXU8Amqvb+zZRiFmZeN9QZThvGALwax
q/ihFXchTd1vQbGThGuoyNwdmvo28Otuj9cCgddoIgxDFwmuHA3BdhEQye1G1G/16WzeIbm5yw+Y
Qh6MkS6sa7sRyQCUoF/UeV+QcjC53CFnTo6nbjf753Bv3ylOfgl24xu2qeaHQnTHBk0wAjHS9ohb
nHAMOFC92nFPs2rwDxQKC+OeVlT+rpYnMe++0eWKFTLt9mVxM+zERym55ey6ISPp8g+7/0TsBQwO
CGSFfqLtbIqTz1R42Kq3sr1Jnqtpe9Ife2lDrgXxGsULmXmMg3ARGs6ks38PlMj8Rsd58rfpm91C
X1me1E4a9IS36dEuz4q2F2fmXnfpG0wDBIwEuHy382167N8FZ2V1pl7M7IfOtVNu7eCQMkcxtuR4
TdYmQpFE5fkl99reoStqPhvf+7vsar1CtLxkECFo5eRnLn9UzxbKnIfe2GRI338E2/qnzeUju1hx
fHJp5F1aIBD1+Av571MKquNWvqhH9Y5G5Qh4PtujZ49+isvwLn2kV80ttizSHpXX4EfySKkaLWRH
mOqm3fo3yUv1Qi/xjlQD0ijd7oQW1yCKJI0282t60G6ep3v9Qdqr1/gnUcEmMVPU/x3xK8od40hc
oFuhI5y8+qn1+jtlT6zYIUH38Ay0pH9ndZwcCOPaaC4ZHMXW3MFY2nRO9xiROEdrbMsSkCi8PqWL
6bQhXIgDJ710179lB0RICklLBm3JjTgHDvfUFyBSySZ4KLD6EQTkZnQ5Nwqr32GjbJQdkIU7+1vi
IHR0DWfeJ2+ooVypxEZxq5Jg07j2lpsm6Rx5sx0cg8jJTXHmckNffQOeDKHSC+fhGaEIAleXksSw
4cpXYm++IY3PGneksNx9+PvgzMpzn+/xQngpATXXdi8OA3eeGjLKBkZwpiK13yhO9cBnSuzKiNyf
dts250wN9hHvoXdS4cRc1lf7Fc3PNEIL3VbqzjcQuyL83FQ3Jr7TrcV56PmUvTxyuIhni78Nl6J+
Yu0VA1vjf7R3+gvoQiTQJQ2GM2E1h+rs77Kj8azxN3vSRt4Th3NrZlvzRDUexTljCuo/B9EM5UjI
GbH7c7pNzva7dk2egkvghd8Xr+fNCBZi+zX8wd+k4LMOkSq3DRhS7Z7i0ZHABhIuVf9GtpZsi2Wl
spLjtWVt1A2QqKLG6NxIsV6N2GJuvdcMrAxqWXaOusRF9MtL1r1gWZCse2Db2nz/uWuLCFgB8e2J
1mCKWn4mXVc3//Or1aRiFtMoLEqwvzlFZ9A7o/Vtmb/CIjeXFAsbX9Zfm7gW3VFSU3TWy976RNOU
BJIJYjgr8mrtYUmuJcIWYqRyaKhcWQM5tzPavOPn7rik3zZ6WTmmoTVE4oZMOIclJzewSMzFV0iY
brbk6BpLoi5+bo59k6dMAnenBLSXsSbzihwkDdaH5rjuteGyKPg6rik6elEoTsaS74tqdMKPArpB
LBtzSZFZ974ekyEzelndXcF4OZHMyW9MfMEsT1jpVrlM3FAsS5ihb4Mlg9ha44hRvx/iEDRJt9Dm
102b6DfVkmM8LNWFr02wLAW/DpUlDTnsxe1aZRuX9ci6V68Qiq8HNYN0ZXMhzCtLTc4gellos4bd
mUpwu5QE1z2apXBpcaTQoUF0ZcgP6ZLnbNmUpkoMQdupZJjwu7KioQjJTyMKWnTPeGyHRfm/k9Bq
eV8FJAHEZTslJJnledQR5VUB1chmKjFqW3NXtyuW6/Q3ja6PMDd26uehGKJF86/f2QRZm0uidbiG
W0MTfSzJM97RAxiP9AHGIxZz1VMjax/Myzdca/pLNpWW26cjwWsrGEhLiFw0obw51oLasJdv7mvz
9Vjfi+mg+Oc10OAzCUHrismZiPQWIM1MVj3qkvXdL4W4tUS3dEG2et9z11tgTtpKb/osHn8Vk3E+
vOlLtriQAOZIxageaX7SrgfDGRvV96lNbK6Rrg13RaO+9HTgWLmxEcDCcjF0blMbsruWVdcveN18
HVrobY/EWjaSYE6+fr2wcMqjNJkyC6PKRvS8xBBNCKQ5BZei8+dmqSHrqJYYjgL0jfbi76towUqz
TIVurbDGSlwfP4+BnWWfbO//a8b9l2acrBoLgf1/bsbt34f3KPq9F/fPl/yrF6dr/wAzLeuK+tlu
+1cjzhD/UDSDpsjSpjOFSgjCPztxivIPRZVNxdYBpWqGYtEm+mcnTrb+YQtbhzWsClPmmf9dOMGf
SGfagIB/qR8ohrDQMlp/9OKEgUU7puLwIErUYXC5ur2UYmCIc/mSRIn0kuZ4DMsBN34LN82aBbM1
stCPSVba9Cfm56ZBcJv6+eBqEaIiKDbc90VGNnMlnaBFFygp5BoQR+Nv8VlkC5fjMHQ4y/JKD+4H
S8rPatLQfLN2oo32pgY2c0pC/yj8lAm0IVOXl2CXKH7rdnIg7f2eGUswNPtJHo03yyaZMJVNc5va
LD4ta1BROwuib/PB3Ku5n7t238xXeGwYT42CRUkIxCGxursqQI42C5aE3ZCSVNnE1qXtAhcJ01OV
h5CVmoeqGBmW/dKdpVZHo4sgqgMPHzOrtwMTlzRSAAwuJ1mL0x3nUr0VdClcvybgmzGMibgGta7p
hw+knBtMIppXx2XnZeUAwVAyvrfYwCF31zdDYN5hrC5v+7ZmkTIVLq6f7G7CF3ewGhMD6+LdKNpI
R40YO1plti+N5f+qyo6uZmJnu1FlpYbZgFUK43pFJiowlGav2N3kCrkhVi+OdnE/dDe6Flyy0Ycv
bGKbTA3tWBTjrwLt4+3QSa9SJK5NocyY8vByd0kTPCDe2rWLmCzkhnTp60BG/QDiPc7Fr4H3eGLg
/Yhb27ipzTR0/JF4wUC0+C5nSlW03+hZhrmHBLi6ZkES/RdgrEFz+ncO83Ii42A2uTiEsGmjcjX9
3lTOZmQMkt8YDzlasET43R6lme6GY0qQJ5rUgy6XrcvvDbM0fhM6S8wyI/o01eIj7oLmtreZlUmU
0BwiODw4KfKdmWOCa+ZevVasvOzgUS5KcwNuNjiaZX8XJYKw8TCeaNp1O0XOSSro5JtUTspDqelb
WyLFfUT+EgyVSWVnZmIPI9VRpXI+9/Ygc5W5QmK4KjIQqpPE7Bzf7dZo0w+zTN7Nfm5eGtzeODie
CcbT78NSdvt5eANJSBJ3w6mKaX8Lbru4jeXpnjJSuyU2YXLMYFAea7xJxL0J4ojbzH747Sb3b/rq
iviDfI16APsTNyELi6Gm6X8Gm5QWRFpflPmDWZF6HAIZx6k5uVBt1IsaZFvb11/yIAxu0/OYlGQS
TtKVJuBbKySJfjIrXETNlG+6+kPvSM42056JLdLsMxlugOiUSyRHJCdaCp7jZRPAjCYbdsL/gQ4T
KB9+jhruj0T59irHxaELG+sYjd8DUMfHtOxfmkSyiE6JrlVILVJEZujQvn6uMfcOwRg9KWUhYyat
8rOkqGhBA/OY1qyNgwoNrOU/B9qoeHWVR9Tb5GGb5FRBTaxDtJvLb4Nozmla5l7WzZIHUKUpAZVP
TDPcyh6p6ljlt0g01tXA4E5IDEGys/ojN7rzUCNrNbm5wcCD6tzL1bbK4+J5Coaz5quOngnTbTUY
Giprno5mwy5kVrxVYxECBizsExL0bTcIwH1hwUQsC7VjrMgHxqGbFCM2BTcdtmKre6EykAVhbmW4
ALsaaimrd/sVycVHMUfnhNXJudSesqaIHnStPyQtKOm0AUccqImHov8e6IlFrQOfhTTEtiu6gPmm
3XmxlqNcy2sIFE3txKlELiTT1iSe9VNpyE+QMm47fIs70STUMsZK2aQNs05YRsk+ihoWDqGZcTZP
VDIIxFSiznLKstpXsGZu0FuakLBOUmgxkvRc0nNfTqcqEiyP6OKDakCLHnQHDVY1QtEB06AYUVRJ
1jFXWWgHctltZiQWDxaC4RJlNcHkwaXvdcSSRfmjNRJlUysUPjrFRtlgJR952DT7LK0V5AvOQoK9
cF4trDxHUebkTLfHCWNRnjpuJko557AbpxyztLzzqyDYVRC98X3fqWGmXf0uyre5z7I4gubVTXpJ
A9Us0aezMZHKgy6isck7o2mclPscFt7G1tuLlvqTMw/Wm4pqdSe6OtnJpbHnIkj22MEce9IbWCC5
RlNGGfcx5dhtH9NHUImlH5RAxfmpNZA6TIanJDiHZJwgkS+vrdF8dHU4/JcIEHnNdPldXyMsxTZk
oaoyiUn4/JZggt/UPHgofR+MkHQfp0AWhlAmfjIHs22bsPt6fT7MNkrupLKO0zhAFjIJuEZwHkpm
dOBiWbDU9nQaIwp3c87lleX9M+THciszvB/6YPwxB0J/iMC0EVnfUaZtdH8DCZ28C8nA9FXSwynL
9ii12DRDtSU5oHwdbQ1m7Dx22Gk4kyVIHgvue3H5p5GL6j28Fa1J3DrSVb5ymQgL6DdF07RupsgS
PK/8J4Cw7hQGpJqECpW+ovT7E3BFUJ0KFaUgP1fhWO2KOqWOE/r8/2MUu0gLHGoHtuJ/HzMVVIHQ
slPdgPYrRrQOtoU2xVQuVc+9f5DouOlYEM8lv36jtxJKCC6ss1rKRGcInyTxjul9YaSa10pm5nQI
26mf445Qc0k/VWCt+ix868vouyEFtqf0AcHXRnDKMLSWfSC7nQ7EqTGHbdga8y63K8sFzq9s7Sgf
jjUIxBiDMHLzVDohMVMowJCREPktqbFyq12GXC031kQvMbMn5mXAx05RwNfb0uByDMg53AASr6n5
RpUIcaVdJhcoyIpTFynktWBIzljjfuD8MbwKgpUEjl4zdXghS8SNgrfwnFbGo5rDFCmys5xbXlGV
ZEXMZnBdN/ux737958HLWE7Kv5+0qEosUzBnUBB5mMjtfj9pB7wBUjDX/n3jIxmy+8A+4S8nCrNV
mr3QlOeyxoYuzeN9r3/Esz1dNH0nS1SqVIBt70T3eJD5wVeJlFmwMoJyUAqFEohCqPpAmV6a76WJ
MLyxxfwKtfpO0tPpm5XjpbBsEd6XmUl6OQUcD88+a21MwLpFdxmhp721rbp3tCW/oiq4l6lmPe/m
aExJqyJdK4PIzjJ6/m5Eg3xq9WRGDT67baNe+vEu903rTGuHWkaOZFhqiRbQ/bRmEs2XBkHw2UbB
PZszxgp1XqImAuNMdx7PUnulrZY5hZ8ChicLu4o6afefP3htWU/88cFry9pGNhShmor+x90ix9xV
y2Fg3qfG3GK3lcebquTu+ap1s3/N8QV5QgsDB+DpbkDSbOPmAsXfnUtd1rB1EymVkQYT6hIF1nTa
TRG82y4pnyHn66cebQbCkR5nOjYXxhV1g/tKv8lrQWx6iJqBmcHBB8O2tbhlbJHTQplSUtYEer/g
09XkURb6bZpY3wiXKo5zT1cgV/wcow9YNobzhzbwgeCINNgxSz5IGgmk//kzQibzbz4kE1+2rCim
rWh/fkhDVkc1GnT9njkiI2acKLeRfNfMFOBq6kcev/PVIM1ra/QjTcJuHlmuxGRk9bJ2yHpudRKx
SV7SdC1z3xFulJ8xrUW07pRmWbk4Aakqx/LJCOz5ImwyxVQfRjv1CONgYY/HIBxdTKD/RSe0fdGc
w6zHDA/bpSlDmY42LWgr6HatkVFCaszvUwjOgbvi/GjazaYeVfsAdeY0W0107vvMIQ8MOLKIMXMz
Y3QUCxyTbMXTTYpmYpNEvThJUUPrZWKFg92VTLbcOmeiiDYg0juwgxPureQmDqLwVZJ1HYHASy91
NakV2m7qkvBiGirA+CnUHoU8lbjBZ+OULWIxJhLcSI6YatHrRxnrq6VXHfbD4CnjTpNoWVRwf7Z2
GVuwl/VXA52eN7DWcceBlhRJERr6+ybYD5khwzYh1L44KLKgFmMT+YvZrbnK2hC5kl1DeG5TOpr4
v5UQ4EZTkI7Upd19NC8AXSwzwBuMm7nwTfT+IjzbevTaqQ23jWYkdSOBJzG271aibLHszptK9609
Nm5nYCp+RYH3gxCYaSRSryUSBcuRpsNHrzVvHYG0ML9a3KDOhajQ/0u36SBbtzgn650VpoVLHt6M
xf5G01EhYZQ6AnDZFiZGgjSgQYTlSIlNiYQJ4yDyOnjG4UlLboqmu6gKj7UR0j+ZxEsGhvJpIGUs
SevGyfGRsOqk5jsppEz0fd7sWsnKT7FlXtvyCZR3fFtVrHIUymbEcQGga7jz4KuJlF49NSNpDFXf
nQYtog+RDj9NGZeNKIwAu2ItNpOSJY9qhDxICs8VZuNdCcp6sx5aAQi2LP5Qi6w4QCj8yLmkWPYS
UNJblCythI+dUIUzsyUo6kP7oKpTtgsnADVmS8LXNAY0hFQaVf/5KuZm9udVbCPiJbGLwI+1YPPH
itSCddM1SV/d6xBRtmMGy6DUCS1qqKjcMCjdzwa3fqAW2i1GALDnvk6SdFO66TBW3uTTTpZjUAg6
q7tR1WGkLWSQyL9KWX6nKXH+qEcbQ2nnO6HE4T5SJ+JgtJBgdgtCcmSRXm/1IvcKpXxsY0v3RMO4
vd5n1bqlwJs2wyEEY7MNgm64BVn5o7f6ewGu/zEgErjga77pE0gdihzXO58CypYx03L1skBY0mOe
ZoYrHKozHaVSOd01Q5M4JmDVvS+XIew6Y+YG7rebdDB3tTRZJ2m2rBu/ImCvA9yD4afK+cVBfks9
+SRNkc/SiUavngfdN3zGhzhOaBrLVe+mgQjdalT0bV7e9XmrU5Apwid1rqo94uTESaUxfsz8B8Ne
flrM0gUES4qxpklxqsOxqHzubsIM7no5ExffhuuUCRVXGxQ2dL5UPnT1pTFkkmMmBXAMSMxDH2qZ
E0zAU+zO/Migrt0HnTC2DRkQ2Kwk1BfFPrfVgahspjNBrE1UbmzTKXvgnDpTpvuWwi4+ddVr7LFF
E83IFeXdQU1Y0I0y2SmAbys8d/RHmexhzsv8G3C7gA6FQV6PiFu8R3UGWEXKb5oxoa4xSM9RX4Bs
8UG51ZPMPc7oWGYw6SgKRT/lyqMQYXXSi17fQMYFXVPEUFCM0InUsNrMGTrXnsCZnZ9HqAkG2isk
CVVY2Mou2ac2cLkwiF/COMg21ShUJ+3IWwQiam2wzbGGbfxzHxvTHZ+DozfJx6Cn8gNBh4mnQ5s7
RmXe3OIg3JhFG2/boco+ZKIbytZ/lwr4UH7LFRnIQ3pIFnYjBPOTr2G/j6zoWCzO8VTWv1OwkS+r
j7yt7JMdzPdVlapHYF7KY4rd0w1kDbFM9Jw1knLbICi8+hivkSkk6c5qiMyAkGLxFdrJvaWgSUsK
lt9a8suvh+9GZRl38bOiSgDSmmHe0WSP1eIukn5EbYgUuK6tU5iSLBGYuepNvQ66SxTWE2bszKOK
iCUmTgsvwci5ZRh4ltBvoYhgrEwCFQQ/5jg1ZPwdm4w21JxFj+mkIBYZ8/gQ6PlTGRQwRRanTike
e7VmylOoSLn7bF/Vl3YOCrhsugWgo/0hq7F1mjKl3pkkFm1m8qMCOUT8Qv7u3RC0S04aSnlNyrm9
ltNz4nPaMTkKw3Z+rUaEM4RU5U6my/TxuYufM9Reey3/VpKxt9UMXLhKrIM1LYurSS9mI5Euci21
+qFrrWCXQtMmycVOL3NX9WD6KE/2EQjbUmqmY9DFL3mk6K7FHGrbWTbqinwQnC19uIEuHb6C+weh
N/TmNdZLag71D+oUyk0YlLYzRjR9cZ/PqLxTY1Gc41+K5F0UtNbjPmduhFvePkj5LEODDJ9iv0Xj
EOzTuK33dLJiymB6djJwsf4/7s62J24kieNfBeU9lrv92CdlpduQDeQ2JJvsZS/3JnJmHDB4bBjP
AMOnv1+7PcTtAS5H86J12tVKG0iNXVNdD//6V/XBmvrp1/V+/PVwsZ93vwnGEg+iM3H1UcBVD5P2
dbjqTg/q5rRilovrQGhiXUFnb+qjxQlkrjV7l+nNLNhimDAxmgnmdZuuknid6yuuQLr+dNLW9TuZ
b24YCdi8XSy4xKJPmzdJsaq5Mpbi/dPt1w2dt406e9PsbxjCY3BNbd5crM9mNYxAiN55+Lu8ZKkb
V9sdXGesKWrb7tVJuvn6+/715e3xNdsMf1UXDLYzP0gyG4r88FZEX7ImOxRd94U+kTwMFyy44bZg
PfhIw589D9fH4uzy37eAxa/DCNoENLyP9BAUSlMfOCzLt2fsWjiuL246sKboe33JEmnulNz8FW+a
9yfLU/ZpXlzi0+LzJXvW0t+U+ixU1/wLmtTtAcOXUPlO191hSu5uIuX/TWdpeJGDYlW85kCtNn+s
y+XmY9mtWRa1HYPSP/3QVs3qz/Zpv/S4oL2y/2TTq5qx8WSln+Cksu/EppU6SlLuHql/3sck1AWv
tZ6XL19EKuBGroRBVa4yTASu9MVe3bK82/x4XylmxJgBk6wz4BZQhsX6Dxyp6CElPP5+RpuP/471
BsWcCbiDquOqk9lq3HyTgrGyn9PCRMZIC3kQpcxjhLGIaCVECW9paUEGMUN13Dedp1yLwTycb1pg
goDK2mpa9l/Mrik8rAQZZCmvR2Pw7iXHSsjTII+B/ajjuTfcOwUoDT24KSAOQDMl98bHii4tIcm2
AsEkJQri+mAYASmQhn9nQX+BjlqIeUkJxCsZ/cxiQgYCx2aQiSAR9N3yHEX5aAeJOZyzm7+dlO0j
PvHhg0D/XqkcM09BrUSoJhpQeINIgTngCFLwcf+8QQTo7OoTYyaKs0TyTwQvgTuGJ1rIJIdBMjpM
IzbKwDANacKjyEAZbk6ogylkgeQarZSiHv9i/N74MAihAjwBEEOYyAy+B6PP+CCPlABtRM9buzlG
FURJyuS2kDi9TKZ81bYW0gCfyIA3/BUfnUKea7KNqw4YhidHSNCDxAGi1LEOsiSIUwInM/g5OyP6
RMo3S0ilc3DIAvhJgGOCHAlASWLvYy2QhqAGHURlGA9Owy8tgAobR+XgFKBkKUA+skVyZxzfNE8I
k4C9IcTHNMMeYHz55hTIY4eHeroWYkxBCBYiq/v8ogyDJElZj0u2xO5n/1SQkcE4ugQypSSjZqK3
Rf2E99+NkFnkZ5YUaRKi6+vHpEGpgMqYc193CKFx1xcQfYga6V1R5ZcvELAYXNMkmQeg/ZSgOAJ4
oH1RMPaIOclijm3IHPsgdA7cUo8yBKGJXa62kAQRaRIpEicBkqveczLWQqoCSTYNgcxYylCx+6QF
CanNUQsRKXHMgc/5nkE0e8c/1kIeET3hBMchzFs/bQGMx9kvhIGQ1M8/kkFLByoQMZnDHZJiDqBP
lkAj3hVLoXiKKIky9JBLw9q2zoMQMRkz6+OhlrC0pc+jPPONMQW+63lQAfeBKM3RhXi3W0KCKFE8
c1KoreCU+girxSqfbub6X3G1WFJIx2kCsx8oNSEztH2jioBgQwYGKNQ0AOshtEbwcjUFForlVAc5
QHOqC4hJCakEmAtn5Qf41n+gT26BZdHORWROMoDnV+B0ZgZkYgrg0KzuBXpK8pzqwT+EkWomd00W
oizQ6bKkE4VKQ6VBEytEJLiFDNeoG5GegiokM44nAregIgU1jmwB8kcyRRkBFKDMhUzowLHVkIN/
aDMP5+ocI2ppbQxc0Qm6YlDEsS1kaZBxBRaa2sJvfoVJWNDufQcBZhJl+EXcfxiSGdnngR5cRNuF
/hvtKTyothS/tCDDJHaNEJwHgFTqh5T2AlFSdxotS6AvERIoI6BIxX881ILAgF29QhboNwRlZTaP
aZtpsoC7pMag3EwpKbVz9M8WwMRdETbS55xKkZY08UHjrROELU8CdENiSXoZ+2kL+vFcbSEK0jwB
PosSlrvTnJ4kjroTxzp3qbhMjXPjZW8+du7NxynQAggikxJowpz7sV9QcQCCQZcDzFnD7t6lzxAU
QudKit68bsiSOquYmlHb1lgJOV5BWwo1JWx7jTl6FyJAw52dIwZPByrKMqDlvslia4FASY1Bek3z
lmaMbtF4FicjIZy9AvAKWCOoe4gxkI5PUWeQBag8MuQfeh0e1hDkvM6wawT4LDXeSjDsX3MSIdj2
HwgODL6RZhXpiVG7R/VklETOXA1dSZEcb/3/blMyDxgwpO3HMC8xhEXf/p2IVLhWUhHtNkYRM04E
twcadtbYOWZAjrRt+xDqo1eIqPNcQVfqqIG0pQPg+O3zEIYCjbihPeGjVyRkuWIKLKynG5uQKWRU
ZLpWnGiBAArSwEidSAyFzbuTEBPA+4dy6MlGYAqM4VNN0mJgq/+khhJ9W7b3hz4eBPyUniYmZj9d
BdoZ0GqjMc9Fon3z1TYEhcskLphLDfxLEEhgXTXAUcjBEnR1dJcGjR1ClgVQtnIFwuYpXSeCb2y+
Gic7yDEnYiMktlgv3bHtgN4DdC3IXdvg6V1o1D16V7cY4RCgqHAQmE0bdg6NbYHgALGNDElAY+jr
J9/cIm1l6QonQHKPJBxFsDWKSB0dbFvoib1gDZ4WkFR9Osl3cosgKlQLFA2GsLqTJCgAFWietCSl
ZjbnJh/xKV2+546cJ3TiuNUGexKwklIA12l4DAkOjJXre1hQB63Znz8NP6Gqu9kRduDX835qpCq7
+4ZLHvqFbWDc/fkwK3E0f/lCD4VYv6iHSMxn/xgq+cViP/eE1dEPtwTW/nOGvz684O5HW5+1favt
Hx5W5bJYzlgD1M+zDI95XCyYPfl7XXwrFsV4mMOMMfx4kpcvrOccHYL/Irg7n8jVFBdnucvqtm1s
wf3Ygbvg86Lpim77iPprFFyXtP3/e1fW3fmDx1Txqqir79zzWllPbZjRrk/9qq3bZTFvt0+pn9rQ
K90lN005W1Wz9coS3nP2XIUflDUb/JblWLIhCDtLHsaT9trveyhnvfhmq13Rvtl+6tO/UrYaL6u5
9X0ORDbX539TtssT+5GpGDQtylXywzsTR2NuTznqR/Pi1DJAYdg7rg98VNdV01b2iTTkKGfRzbwq
Jl7EkG2cJbfXtlkY9oqr2H/s+ibDhXAWjID17Hyzta/e7RmCgatodmxwQdlUzaonsrjKfldUjeU9
Bgalu9zlpi6a+Vgd0Oh1j91ddNcVM+Z1y9XKsumhc+ssv5qxAKFotk/a5yGmEegumljQtSvLsiW1
EcmZu+yuq/j34qLaCjNP3ndsnkN6u15ORT/Lg7fNamLc0nSfXR/6uPy2LCbZE6wsnSq7i74q7Lg1
DCe5C77eOywWF91pZYd15OtO2XPIf1suu9LyVLQxdDPnOYS/K2+qmRXGhh7Jcwj/0i7Pt4/ZW7ee
a9z+wdPTkGN9iejeq4K1bpUdzSC0akzf+dn7DzgouDXNPvvg5c+Qkrw/rWyNGxTa9anfn9dkJHZV
M+CazqK5gGc6/99jxq6CP5RN023qq2JSJkiDRrqK/3jazsu9o24ntplpZVfxn1q2r99riAOC9jwf
sGuIWjw4iav4P9F+2XWllVIMEKi77Bu7qhz4aq5y/7kqTrdvrn3KgNK5iv1cLhdENkuyGWV2llxR
2UzMe+jAuor+qyDuNCcr+2gOI3bOwstutff5voc3TUNn+VU3a1lqY2VuA+DoLPvhW6sfrfruQ5ru
Zqp38aftKpH7/poNrunfmNVlsfzlPwAAAP//</cx:binary>
              </cx:geoCache>
            </cx:geography>
          </cx:layoutPr>
          <cx:valueColors>
            <cx:minColor>
              <a:schemeClr val="accent1">
                <a:lumMod val="75000"/>
              </a:schemeClr>
            </cx:minColor>
            <cx:midColor>
              <a:schemeClr val="bg1"/>
            </cx:midColor>
            <cx:maxColor>
              <a:schemeClr val="accent2">
                <a:lumMod val="75000"/>
              </a:schemeClr>
            </cx:maxColor>
          </cx:valueColors>
          <cx:valueColorPositions count="3">
            <cx:midPosition>
              <cx:number val="0"/>
            </cx:midPosition>
          </cx:valueColorPositions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Spin" dx="22" fmlaLink="$A$1" max="10" min="1" page="10" val="10"/>
</file>

<file path=xl/ctrlProps/ctrlProp2.xml><?xml version="1.0" encoding="utf-8"?>
<formControlPr xmlns="http://schemas.microsoft.com/office/spreadsheetml/2009/9/main" objectType="Radio" checked="Checked" firstButton="1" fmlaLink="$A$2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422910</xdr:colOff>
      <xdr:row>27</xdr:row>
      <xdr:rowOff>74295</xdr:rowOff>
    </xdr:from>
    <xdr:to>
      <xdr:col>7</xdr:col>
      <xdr:colOff>598170</xdr:colOff>
      <xdr:row>35</xdr:row>
      <xdr:rowOff>186690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430530</xdr:colOff>
      <xdr:row>22</xdr:row>
      <xdr:rowOff>34290</xdr:rowOff>
    </xdr:from>
    <xdr:to>
      <xdr:col>8</xdr:col>
      <xdr:colOff>3810</xdr:colOff>
      <xdr:row>28</xdr:row>
      <xdr:rowOff>34290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240030</xdr:colOff>
      <xdr:row>11</xdr:row>
      <xdr:rowOff>38100</xdr:rowOff>
    </xdr:from>
    <xdr:to>
      <xdr:col>7</xdr:col>
      <xdr:colOff>354330</xdr:colOff>
      <xdr:row>18</xdr:row>
      <xdr:rowOff>118109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224789</xdr:colOff>
      <xdr:row>11</xdr:row>
      <xdr:rowOff>114300</xdr:rowOff>
    </xdr:from>
    <xdr:to>
      <xdr:col>2</xdr:col>
      <xdr:colOff>0</xdr:colOff>
      <xdr:row>36</xdr:row>
      <xdr:rowOff>34290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400050</xdr:colOff>
      <xdr:row>1</xdr:row>
      <xdr:rowOff>45721</xdr:rowOff>
    </xdr:from>
    <xdr:to>
      <xdr:col>16</xdr:col>
      <xdr:colOff>270510</xdr:colOff>
      <xdr:row>4</xdr:row>
      <xdr:rowOff>125731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00050" y="236221"/>
          <a:ext cx="12153900" cy="6515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800" b="1">
              <a:solidFill>
                <a:schemeClr val="tx1">
                  <a:lumMod val="75000"/>
                  <a:lumOff val="25000"/>
                </a:schemeClr>
              </a:solidFill>
            </a:rPr>
            <a:t>What</a:t>
          </a:r>
          <a:r>
            <a:rPr lang="en-US" sz="2800" b="1" baseline="0">
              <a:solidFill>
                <a:schemeClr val="tx1">
                  <a:lumMod val="75000"/>
                  <a:lumOff val="25000"/>
                </a:schemeClr>
              </a:solidFill>
            </a:rPr>
            <a:t> do </a:t>
          </a:r>
          <a:r>
            <a:rPr lang="en-US" sz="2800" b="1" baseline="0">
              <a:solidFill>
                <a:schemeClr val="accent1"/>
              </a:solidFill>
            </a:rPr>
            <a:t>wage</a:t>
          </a:r>
          <a:r>
            <a:rPr lang="en-US" sz="2800" b="1" baseline="0">
              <a:solidFill>
                <a:schemeClr val="tx1">
                  <a:lumMod val="75000"/>
                  <a:lumOff val="25000"/>
                </a:schemeClr>
              </a:solidFill>
            </a:rPr>
            <a:t> and </a:t>
          </a:r>
          <a:r>
            <a:rPr lang="en-US" sz="2800" b="1" baseline="0">
              <a:solidFill>
                <a:schemeClr val="accent2"/>
              </a:solidFill>
            </a:rPr>
            <a:t>employment</a:t>
          </a:r>
          <a:r>
            <a:rPr lang="en-US" sz="2800" b="1" baseline="0">
              <a:solidFill>
                <a:schemeClr val="tx1">
                  <a:lumMod val="75000"/>
                  <a:lumOff val="25000"/>
                </a:schemeClr>
              </a:solidFill>
            </a:rPr>
            <a:t> figures look like by industry?</a:t>
          </a:r>
          <a:endParaRPr lang="en-US" sz="28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</xdr:col>
      <xdr:colOff>112396</xdr:colOff>
      <xdr:row>9</xdr:row>
      <xdr:rowOff>1905</xdr:rowOff>
    </xdr:from>
    <xdr:to>
      <xdr:col>1</xdr:col>
      <xdr:colOff>2859406</xdr:colOff>
      <xdr:row>11</xdr:row>
      <xdr:rowOff>1905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54356" y="1929765"/>
          <a:ext cx="274701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Average Annual </a:t>
          </a:r>
          <a:r>
            <a:rPr lang="en-US" sz="1600" b="1">
              <a:solidFill>
                <a:schemeClr val="accent1"/>
              </a:solidFill>
            </a:rPr>
            <a:t>Wage</a:t>
          </a:r>
        </a:p>
      </xdr:txBody>
    </xdr:sp>
    <xdr:clientData/>
  </xdr:twoCellAnchor>
  <xdr:twoCellAnchor>
    <xdr:from>
      <xdr:col>9</xdr:col>
      <xdr:colOff>80010</xdr:colOff>
      <xdr:row>11</xdr:row>
      <xdr:rowOff>38100</xdr:rowOff>
    </xdr:from>
    <xdr:to>
      <xdr:col>17</xdr:col>
      <xdr:colOff>99060</xdr:colOff>
      <xdr:row>35</xdr:row>
      <xdr:rowOff>144780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28585" y="2343150"/>
              <a:ext cx="6248400" cy="4678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41911</xdr:colOff>
      <xdr:row>9</xdr:row>
      <xdr:rowOff>1905</xdr:rowOff>
    </xdr:from>
    <xdr:to>
      <xdr:col>7</xdr:col>
      <xdr:colOff>346711</xdr:colOff>
      <xdr:row>11</xdr:row>
      <xdr:rowOff>1905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4400551" y="1929765"/>
          <a:ext cx="274320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Share of Total </a:t>
          </a:r>
          <a:r>
            <a:rPr lang="en-US" sz="1600" b="1">
              <a:solidFill>
                <a:schemeClr val="accent2"/>
              </a:solidFill>
            </a:rPr>
            <a:t>Employees</a:t>
          </a:r>
        </a:p>
      </xdr:txBody>
    </xdr:sp>
    <xdr:clientData/>
  </xdr:twoCellAnchor>
  <xdr:twoCellAnchor>
    <xdr:from>
      <xdr:col>3</xdr:col>
      <xdr:colOff>3811</xdr:colOff>
      <xdr:row>19</xdr:row>
      <xdr:rowOff>186690</xdr:rowOff>
    </xdr:from>
    <xdr:to>
      <xdr:col>7</xdr:col>
      <xdr:colOff>308611</xdr:colOff>
      <xdr:row>21</xdr:row>
      <xdr:rowOff>186690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4362451" y="4095750"/>
          <a:ext cx="274320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accent1"/>
              </a:solidFill>
            </a:rPr>
            <a:t>Wage</a:t>
          </a:r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 &amp; </a:t>
          </a:r>
          <a:r>
            <a:rPr lang="en-US" sz="1600" b="1">
              <a:solidFill>
                <a:schemeClr val="accent2"/>
              </a:solidFill>
            </a:rPr>
            <a:t>Employee</a:t>
          </a:r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 Trends</a:t>
          </a:r>
        </a:p>
      </xdr:txBody>
    </xdr:sp>
    <xdr:clientData/>
  </xdr:twoCellAnchor>
  <xdr:twoCellAnchor>
    <xdr:from>
      <xdr:col>5</xdr:col>
      <xdr:colOff>160020</xdr:colOff>
      <xdr:row>11</xdr:row>
      <xdr:rowOff>110490</xdr:rowOff>
    </xdr:from>
    <xdr:to>
      <xdr:col>8</xdr:col>
      <xdr:colOff>34290</xdr:colOff>
      <xdr:row>17</xdr:row>
      <xdr:rowOff>3810</xdr:rowOff>
    </xdr:to>
    <xdr:sp macro="" textlink="'Data Prep'!I19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5737860" y="2495550"/>
          <a:ext cx="1703070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66B599A7-5ADE-4376-8454-B46DBD6CB177}" type="TxLink">
            <a:rPr lang="en-US" sz="6000" b="1" i="0" u="none" strike="noStrike">
              <a:solidFill>
                <a:schemeClr val="accent2"/>
              </a:solidFill>
              <a:latin typeface="Calibri"/>
              <a:cs typeface="Calibri"/>
            </a:rPr>
            <a:pPr/>
            <a:t>4%</a:t>
          </a:fld>
          <a:endParaRPr lang="en-US" sz="6000" b="1">
            <a:solidFill>
              <a:schemeClr val="accent2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5</xdr:row>
          <xdr:rowOff>0</xdr:rowOff>
        </xdr:from>
        <xdr:to>
          <xdr:col>2</xdr:col>
          <xdr:colOff>504825</xdr:colOff>
          <xdr:row>6</xdr:row>
          <xdr:rowOff>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495300</xdr:colOff>
          <xdr:row>9</xdr:row>
          <xdr:rowOff>47625</xdr:rowOff>
        </xdr:from>
        <xdr:to>
          <xdr:col>13</xdr:col>
          <xdr:colOff>1447800</xdr:colOff>
          <xdr:row>10</xdr:row>
          <xdr:rowOff>152400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Average Wage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1485900</xdr:colOff>
          <xdr:row>9</xdr:row>
          <xdr:rowOff>0</xdr:rowOff>
        </xdr:from>
        <xdr:to>
          <xdr:col>14</xdr:col>
          <xdr:colOff>533400</xdr:colOff>
          <xdr:row>11</xdr:row>
          <xdr:rowOff>0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Employees per 1,000</a:t>
              </a:r>
            </a:p>
          </xdr:txBody>
        </xdr:sp>
        <xdr:clientData/>
      </xdr:twoCellAnchor>
    </mc:Choice>
    <mc:Fallback/>
  </mc:AlternateContent>
  <xdr:twoCellAnchor>
    <xdr:from>
      <xdr:col>12</xdr:col>
      <xdr:colOff>55246</xdr:colOff>
      <xdr:row>9</xdr:row>
      <xdr:rowOff>1905</xdr:rowOff>
    </xdr:from>
    <xdr:to>
      <xdr:col>13</xdr:col>
      <xdr:colOff>1045845</xdr:colOff>
      <xdr:row>11</xdr:row>
      <xdr:rowOff>1905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9054466" y="1929765"/>
          <a:ext cx="1600199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Average</a:t>
          </a:r>
          <a: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</a:rPr>
            <a:t> </a:t>
          </a:r>
          <a:r>
            <a:rPr lang="en-US" sz="1600" b="1" baseline="0">
              <a:solidFill>
                <a:schemeClr val="accent1"/>
              </a:solidFill>
            </a:rPr>
            <a:t>Wages</a:t>
          </a:r>
          <a:endParaRPr lang="en-US" sz="16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13</xdr:col>
      <xdr:colOff>1680211</xdr:colOff>
      <xdr:row>9</xdr:row>
      <xdr:rowOff>1905</xdr:rowOff>
    </xdr:from>
    <xdr:to>
      <xdr:col>15</xdr:col>
      <xdr:colOff>605790</xdr:colOff>
      <xdr:row>11</xdr:row>
      <xdr:rowOff>1905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11289031" y="1929765"/>
          <a:ext cx="1996439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chemeClr val="accent2"/>
              </a:solidFill>
            </a:rPr>
            <a:t>Employees</a:t>
          </a:r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 per 1,000</a:t>
          </a:r>
        </a:p>
      </xdr:txBody>
    </xdr:sp>
    <xdr:clientData/>
  </xdr:twoCellAnchor>
  <xdr:twoCellAnchor editAs="oneCell">
    <xdr:from>
      <xdr:col>13</xdr:col>
      <xdr:colOff>2049780</xdr:colOff>
      <xdr:row>2</xdr:row>
      <xdr:rowOff>30480</xdr:rowOff>
    </xdr:from>
    <xdr:to>
      <xdr:col>16</xdr:col>
      <xdr:colOff>346500</xdr:colOff>
      <xdr:row>5</xdr:row>
      <xdr:rowOff>224856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8600" y="411480"/>
          <a:ext cx="1977180" cy="765876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fb>4887871</fb>
    <v>0</v>
  </rv>
  <rv s="0">
    <fb>7171646</fb>
    <v>0</v>
  </rv>
  <rv s="0">
    <fb>3013825</fb>
    <v>0</v>
  </rv>
  <rv s="0">
    <fb>39557045</fb>
    <v>0</v>
  </rv>
  <rv s="0">
    <fb>5695564</fb>
    <v>0</v>
  </rv>
  <rv s="0">
    <fb>3572665</fb>
    <v>0</v>
  </rv>
  <rv s="0">
    <fb>967171</fb>
    <v>0</v>
  </rv>
  <rv s="0">
    <fb>21670000</fb>
    <v>0</v>
  </rv>
  <rv s="0">
    <fb>10519475</fb>
    <v>0</v>
  </rv>
  <rv s="0">
    <fb>1754208</fb>
    <v>0</v>
  </rv>
  <rv s="0">
    <fb>12741080</fb>
    <v>0</v>
  </rv>
  <rv s="0">
    <fb>6691878</fb>
    <v>0</v>
  </rv>
  <rv s="0">
    <fb>3156145</fb>
    <v>0</v>
  </rv>
  <rv s="0">
    <fb>2911505</fb>
    <v>0</v>
  </rv>
  <rv s="0">
    <fb>4468402</fb>
    <v>0</v>
  </rv>
  <rv s="0">
    <fb>4659978</fb>
    <v>0</v>
  </rv>
  <rv s="0">
    <fb>1338404</fb>
    <v>0</v>
  </rv>
  <rv s="0">
    <fb>6042718</fb>
    <v>0</v>
  </rv>
  <rv s="0">
    <fb>6902149</fb>
    <v>0</v>
  </rv>
  <rv s="0">
    <fb>9995915</fb>
    <v>0</v>
  </rv>
  <rv s="0">
    <fb>5611179</fb>
    <v>0</v>
  </rv>
  <rv s="0">
    <fb>2963914</fb>
    <v>0</v>
  </rv>
  <rv s="0">
    <fb>6126452</fb>
    <v>0</v>
  </rv>
  <rv s="0">
    <fb>1062305</fb>
    <v>0</v>
  </rv>
  <rv s="0">
    <fb>1929268</fb>
    <v>0</v>
  </rv>
  <rv s="0">
    <fb>3034392</fb>
    <v>0</v>
  </rv>
  <rv s="0">
    <fb>1356458</fb>
    <v>0</v>
  </rv>
  <rv s="0">
    <fb>8908520</fb>
    <v>0</v>
  </rv>
  <rv s="0">
    <fb>2095428</fb>
    <v>0</v>
  </rv>
  <rv s="0">
    <fb>19542209</fb>
    <v>0</v>
  </rv>
  <rv s="0">
    <fb>10383620</fb>
    <v>0</v>
  </rv>
  <rv s="0">
    <fb>760077</fb>
    <v>0</v>
  </rv>
  <rv s="0">
    <fb>11689442</fb>
    <v>0</v>
  </rv>
  <rv s="0">
    <fb>3943079</fb>
    <v>0</v>
  </rv>
  <rv s="0">
    <fb>4190713</fb>
    <v>0</v>
  </rv>
  <rv s="0">
    <fb>12807060</fb>
    <v>0</v>
  </rv>
  <rv s="0">
    <fb>1057315</fb>
    <v>0</v>
  </rv>
  <rv s="0">
    <fb>5084127</fb>
    <v>0</v>
  </rv>
  <rv s="0">
    <fb>882235</fb>
    <v>0</v>
  </rv>
  <rv s="0">
    <fb>6770010</fb>
    <v>0</v>
  </rv>
  <rv s="0">
    <fb>28701845</fb>
    <v>0</v>
  </rv>
  <rv s="0">
    <fb>3161105</fb>
    <v>0</v>
  </rv>
  <rv s="0">
    <fb>626299</fb>
    <v>0</v>
  </rv>
  <rv s="0">
    <fb>8517685</fb>
    <v>0</v>
  </rv>
  <rv s="0">
    <fb>7614893</fb>
    <v>0</v>
  </rv>
  <rv s="0">
    <fb>1805832</fb>
    <v>0</v>
  </rv>
  <rv s="0">
    <fb>5813568</fb>
    <v>0</v>
  </rv>
  <rv s="0">
    <fb>577737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3" formatCode="#,##0"/>
    </x:dxf>
  </dxfs>
  <richStyles>
    <rSty dxfid="0"/>
  </richStyles>
</richStyleSheet>
</file>

<file path=xl/theme/theme1.xml><?xml version="1.0" encoding="utf-8"?>
<a:theme xmlns:a="http://schemas.openxmlformats.org/drawingml/2006/main" name="Office Theme">
  <a:themeElements>
    <a:clrScheme name="Maven Career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69999"/>
      </a:accent1>
      <a:accent2>
        <a:srgbClr val="FF5050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2F2C-F2D3-4F44-815D-AF8D50250408}">
  <dimension ref="A1:F1919"/>
  <sheetViews>
    <sheetView topLeftCell="A76" workbookViewId="0">
      <selection activeCell="H71" sqref="H71"/>
    </sheetView>
  </sheetViews>
  <sheetFormatPr defaultRowHeight="15" x14ac:dyDescent="0.25"/>
  <cols>
    <col min="1" max="1" width="9.140625" customWidth="1"/>
    <col min="2" max="2" width="21.7109375" customWidth="1"/>
    <col min="3" max="3" width="18.7109375" customWidth="1"/>
    <col min="4" max="4" width="14.5703125" customWidth="1"/>
    <col min="5" max="5" width="10.7109375" customWidth="1"/>
    <col min="6" max="6" width="16.7109375" customWidth="1"/>
    <col min="7" max="18" width="9.140625" customWidth="1"/>
  </cols>
  <sheetData>
    <row r="1" spans="1:6" x14ac:dyDescent="0.25">
      <c r="A1" s="3" t="s">
        <v>50</v>
      </c>
      <c r="B1" s="3" t="s">
        <v>49</v>
      </c>
      <c r="C1" s="3" t="s">
        <v>0</v>
      </c>
      <c r="D1" s="3" t="s">
        <v>61</v>
      </c>
      <c r="E1" s="3" t="s">
        <v>62</v>
      </c>
      <c r="F1" s="3" t="s">
        <v>63</v>
      </c>
    </row>
    <row r="2" spans="1:6" x14ac:dyDescent="0.25">
      <c r="A2">
        <v>2020</v>
      </c>
      <c r="B2" t="s">
        <v>55</v>
      </c>
      <c r="C2" t="s">
        <v>1</v>
      </c>
      <c r="D2" s="1">
        <v>1829</v>
      </c>
      <c r="E2" s="1">
        <v>18051</v>
      </c>
      <c r="F2" s="2">
        <v>58872</v>
      </c>
    </row>
    <row r="3" spans="1:6" x14ac:dyDescent="0.25">
      <c r="A3">
        <v>2020</v>
      </c>
      <c r="B3" t="s">
        <v>55</v>
      </c>
      <c r="C3" t="s">
        <v>2</v>
      </c>
      <c r="D3" s="1">
        <v>1354</v>
      </c>
      <c r="E3" s="1">
        <v>35607</v>
      </c>
      <c r="F3" s="2">
        <v>55216</v>
      </c>
    </row>
    <row r="4" spans="1:6" x14ac:dyDescent="0.25">
      <c r="A4">
        <v>2020</v>
      </c>
      <c r="B4" t="s">
        <v>55</v>
      </c>
      <c r="C4" t="s">
        <v>3</v>
      </c>
      <c r="D4" s="1">
        <v>2565</v>
      </c>
      <c r="E4" s="1">
        <v>15961</v>
      </c>
      <c r="F4" s="2">
        <v>49909</v>
      </c>
    </row>
    <row r="5" spans="1:6" x14ac:dyDescent="0.25">
      <c r="A5">
        <v>2020</v>
      </c>
      <c r="B5" t="s">
        <v>55</v>
      </c>
      <c r="C5" t="s">
        <v>4</v>
      </c>
      <c r="D5" s="1">
        <v>17651</v>
      </c>
      <c r="E5" s="1">
        <v>425665</v>
      </c>
      <c r="F5" s="2">
        <v>42534</v>
      </c>
    </row>
    <row r="6" spans="1:6" x14ac:dyDescent="0.25">
      <c r="A6">
        <v>2020</v>
      </c>
      <c r="B6" t="s">
        <v>55</v>
      </c>
      <c r="C6" t="s">
        <v>5</v>
      </c>
      <c r="D6" s="1">
        <v>3312</v>
      </c>
      <c r="E6" s="1">
        <v>41633</v>
      </c>
      <c r="F6" s="2">
        <v>91879</v>
      </c>
    </row>
    <row r="7" spans="1:6" x14ac:dyDescent="0.25">
      <c r="A7">
        <v>2020</v>
      </c>
      <c r="B7" t="s">
        <v>55</v>
      </c>
      <c r="C7" t="s">
        <v>6</v>
      </c>
      <c r="D7">
        <v>467</v>
      </c>
      <c r="E7" s="1">
        <v>5260</v>
      </c>
      <c r="F7" s="2">
        <v>43142</v>
      </c>
    </row>
    <row r="8" spans="1:6" x14ac:dyDescent="0.25">
      <c r="A8">
        <v>2020</v>
      </c>
      <c r="B8" t="s">
        <v>55</v>
      </c>
      <c r="C8" t="s">
        <v>7</v>
      </c>
      <c r="D8">
        <v>186</v>
      </c>
      <c r="E8" s="1">
        <v>1317</v>
      </c>
      <c r="F8" s="2">
        <v>43290</v>
      </c>
    </row>
    <row r="9" spans="1:6" x14ac:dyDescent="0.25">
      <c r="A9">
        <v>2020</v>
      </c>
      <c r="B9" t="s">
        <v>55</v>
      </c>
      <c r="C9" t="s">
        <v>8</v>
      </c>
      <c r="D9" s="1">
        <v>5394</v>
      </c>
      <c r="E9" s="1">
        <v>71107</v>
      </c>
      <c r="F9" s="2">
        <v>37717</v>
      </c>
    </row>
    <row r="10" spans="1:6" x14ac:dyDescent="0.25">
      <c r="A10">
        <v>2020</v>
      </c>
      <c r="B10" t="s">
        <v>55</v>
      </c>
      <c r="C10" t="s">
        <v>9</v>
      </c>
      <c r="D10" s="1">
        <v>2794</v>
      </c>
      <c r="E10" s="1">
        <v>29309</v>
      </c>
      <c r="F10" s="2">
        <v>45978</v>
      </c>
    </row>
    <row r="11" spans="1:6" x14ac:dyDescent="0.25">
      <c r="A11">
        <v>2020</v>
      </c>
      <c r="B11" t="s">
        <v>55</v>
      </c>
      <c r="C11" t="s">
        <v>10</v>
      </c>
      <c r="D11" s="1">
        <v>2531</v>
      </c>
      <c r="E11" s="1">
        <v>27020</v>
      </c>
      <c r="F11" s="2">
        <v>42820</v>
      </c>
    </row>
    <row r="12" spans="1:6" x14ac:dyDescent="0.25">
      <c r="A12">
        <v>2020</v>
      </c>
      <c r="B12" t="s">
        <v>55</v>
      </c>
      <c r="C12" t="s">
        <v>11</v>
      </c>
      <c r="D12" s="1">
        <v>2818</v>
      </c>
      <c r="E12" s="1">
        <v>24933</v>
      </c>
      <c r="F12" s="2">
        <v>52259</v>
      </c>
    </row>
    <row r="13" spans="1:6" x14ac:dyDescent="0.25">
      <c r="A13">
        <v>2020</v>
      </c>
      <c r="B13" t="s">
        <v>55</v>
      </c>
      <c r="C13" t="s">
        <v>12</v>
      </c>
      <c r="D13" s="1">
        <v>2302</v>
      </c>
      <c r="E13" s="1">
        <v>20872</v>
      </c>
      <c r="F13" s="2">
        <v>50732</v>
      </c>
    </row>
    <row r="14" spans="1:6" x14ac:dyDescent="0.25">
      <c r="A14">
        <v>2020</v>
      </c>
      <c r="B14" t="s">
        <v>55</v>
      </c>
      <c r="C14" t="s">
        <v>13</v>
      </c>
      <c r="D14" s="1">
        <v>2911</v>
      </c>
      <c r="E14" s="1">
        <v>22868</v>
      </c>
      <c r="F14" s="2">
        <v>45588</v>
      </c>
    </row>
    <row r="15" spans="1:6" x14ac:dyDescent="0.25">
      <c r="A15">
        <v>2020</v>
      </c>
      <c r="B15" t="s">
        <v>55</v>
      </c>
      <c r="C15" t="s">
        <v>14</v>
      </c>
      <c r="D15" s="1">
        <v>2613</v>
      </c>
      <c r="E15" s="1">
        <v>18607</v>
      </c>
      <c r="F15" s="2">
        <v>47721</v>
      </c>
    </row>
    <row r="16" spans="1:6" x14ac:dyDescent="0.25">
      <c r="A16">
        <v>2020</v>
      </c>
      <c r="B16" t="s">
        <v>55</v>
      </c>
      <c r="C16" t="s">
        <v>15</v>
      </c>
      <c r="D16" s="1">
        <v>1632</v>
      </c>
      <c r="E16" s="1">
        <v>16061</v>
      </c>
      <c r="F16" s="2">
        <v>54605</v>
      </c>
    </row>
    <row r="17" spans="1:6" x14ac:dyDescent="0.25">
      <c r="A17">
        <v>2020</v>
      </c>
      <c r="B17" t="s">
        <v>55</v>
      </c>
      <c r="C17" t="s">
        <v>16</v>
      </c>
      <c r="D17" s="1">
        <v>3143</v>
      </c>
      <c r="E17" s="1">
        <v>37751</v>
      </c>
      <c r="F17" s="2">
        <v>86727</v>
      </c>
    </row>
    <row r="18" spans="1:6" x14ac:dyDescent="0.25">
      <c r="A18">
        <v>2020</v>
      </c>
      <c r="B18" t="s">
        <v>55</v>
      </c>
      <c r="C18" t="s">
        <v>17</v>
      </c>
      <c r="D18" s="1">
        <v>1581</v>
      </c>
      <c r="E18" s="1">
        <v>7787</v>
      </c>
      <c r="F18" s="2">
        <v>41422</v>
      </c>
    </row>
    <row r="19" spans="1:6" x14ac:dyDescent="0.25">
      <c r="A19">
        <v>2020</v>
      </c>
      <c r="B19" t="s">
        <v>55</v>
      </c>
      <c r="C19" t="s">
        <v>18</v>
      </c>
      <c r="D19">
        <v>720</v>
      </c>
      <c r="E19" s="1">
        <v>7112</v>
      </c>
      <c r="F19" s="2">
        <v>46887</v>
      </c>
    </row>
    <row r="20" spans="1:6" x14ac:dyDescent="0.25">
      <c r="A20">
        <v>2020</v>
      </c>
      <c r="B20" t="s">
        <v>55</v>
      </c>
      <c r="C20" t="s">
        <v>19</v>
      </c>
      <c r="D20">
        <v>999</v>
      </c>
      <c r="E20" s="1">
        <v>11134</v>
      </c>
      <c r="F20" s="2">
        <v>64628</v>
      </c>
    </row>
    <row r="21" spans="1:6" x14ac:dyDescent="0.25">
      <c r="A21">
        <v>2020</v>
      </c>
      <c r="B21" t="s">
        <v>55</v>
      </c>
      <c r="C21" t="s">
        <v>20</v>
      </c>
      <c r="D21" s="1">
        <v>3574</v>
      </c>
      <c r="E21" s="1">
        <v>34897</v>
      </c>
      <c r="F21" s="2">
        <v>43309</v>
      </c>
    </row>
    <row r="22" spans="1:6" x14ac:dyDescent="0.25">
      <c r="A22">
        <v>2020</v>
      </c>
      <c r="B22" t="s">
        <v>55</v>
      </c>
      <c r="C22" t="s">
        <v>21</v>
      </c>
      <c r="D22" s="1">
        <v>3175</v>
      </c>
      <c r="E22" s="1">
        <v>28204</v>
      </c>
      <c r="F22" s="2">
        <v>51276</v>
      </c>
    </row>
    <row r="23" spans="1:6" x14ac:dyDescent="0.25">
      <c r="A23">
        <v>2020</v>
      </c>
      <c r="B23" t="s">
        <v>55</v>
      </c>
      <c r="C23" t="s">
        <v>22</v>
      </c>
      <c r="D23" s="1">
        <v>2070</v>
      </c>
      <c r="E23" s="1">
        <v>14561</v>
      </c>
      <c r="F23" s="2">
        <v>50525</v>
      </c>
    </row>
    <row r="24" spans="1:6" x14ac:dyDescent="0.25">
      <c r="A24">
        <v>2020</v>
      </c>
      <c r="B24" t="s">
        <v>55</v>
      </c>
      <c r="C24" t="s">
        <v>23</v>
      </c>
      <c r="D24" s="1">
        <v>2123</v>
      </c>
      <c r="E24" s="1">
        <v>16963</v>
      </c>
      <c r="F24" s="2">
        <v>46677</v>
      </c>
    </row>
    <row r="25" spans="1:6" x14ac:dyDescent="0.25">
      <c r="A25">
        <v>2020</v>
      </c>
      <c r="B25" t="s">
        <v>55</v>
      </c>
      <c r="C25" t="s">
        <v>24</v>
      </c>
      <c r="D25" s="1">
        <v>1847</v>
      </c>
      <c r="E25" s="1">
        <v>12449</v>
      </c>
      <c r="F25" s="2">
        <v>65945</v>
      </c>
    </row>
    <row r="26" spans="1:6" x14ac:dyDescent="0.25">
      <c r="A26">
        <v>2020</v>
      </c>
      <c r="B26" t="s">
        <v>55</v>
      </c>
      <c r="C26" t="s">
        <v>25</v>
      </c>
      <c r="D26" s="1">
        <v>2469</v>
      </c>
      <c r="E26" s="1">
        <v>16054</v>
      </c>
      <c r="F26" s="2">
        <v>44449</v>
      </c>
    </row>
    <row r="27" spans="1:6" x14ac:dyDescent="0.25">
      <c r="A27">
        <v>2020</v>
      </c>
      <c r="B27" t="s">
        <v>55</v>
      </c>
      <c r="C27" t="s">
        <v>26</v>
      </c>
      <c r="D27">
        <v>598</v>
      </c>
      <c r="E27" s="1">
        <v>19509</v>
      </c>
      <c r="F27" s="2">
        <v>88060</v>
      </c>
    </row>
    <row r="28" spans="1:6" x14ac:dyDescent="0.25">
      <c r="A28">
        <v>2020</v>
      </c>
      <c r="B28" t="s">
        <v>55</v>
      </c>
      <c r="C28" t="s">
        <v>27</v>
      </c>
      <c r="D28">
        <v>350</v>
      </c>
      <c r="E28" s="1">
        <v>2671</v>
      </c>
      <c r="F28" s="2">
        <v>48051</v>
      </c>
    </row>
    <row r="29" spans="1:6" x14ac:dyDescent="0.25">
      <c r="A29">
        <v>2020</v>
      </c>
      <c r="B29" t="s">
        <v>55</v>
      </c>
      <c r="C29" t="s">
        <v>28</v>
      </c>
      <c r="D29">
        <v>999</v>
      </c>
      <c r="E29" s="1">
        <v>11868</v>
      </c>
      <c r="F29" s="2">
        <v>44634</v>
      </c>
    </row>
    <row r="30" spans="1:6" x14ac:dyDescent="0.25">
      <c r="A30">
        <v>2020</v>
      </c>
      <c r="B30" t="s">
        <v>55</v>
      </c>
      <c r="C30" t="s">
        <v>29</v>
      </c>
      <c r="D30" s="1">
        <v>2064</v>
      </c>
      <c r="E30" s="1">
        <v>30471</v>
      </c>
      <c r="F30" s="2">
        <v>65885</v>
      </c>
    </row>
    <row r="31" spans="1:6" x14ac:dyDescent="0.25">
      <c r="A31">
        <v>2020</v>
      </c>
      <c r="B31" t="s">
        <v>55</v>
      </c>
      <c r="C31" t="s">
        <v>30</v>
      </c>
      <c r="D31" s="1">
        <v>3335</v>
      </c>
      <c r="E31" s="1">
        <v>31214</v>
      </c>
      <c r="F31" s="2">
        <v>44384</v>
      </c>
    </row>
    <row r="32" spans="1:6" x14ac:dyDescent="0.25">
      <c r="A32">
        <v>2020</v>
      </c>
      <c r="B32" t="s">
        <v>55</v>
      </c>
      <c r="C32" t="s">
        <v>31</v>
      </c>
      <c r="D32" s="1">
        <v>3428</v>
      </c>
      <c r="E32" s="1">
        <v>29560</v>
      </c>
      <c r="F32" s="2">
        <v>42720</v>
      </c>
    </row>
    <row r="33" spans="1:6" x14ac:dyDescent="0.25">
      <c r="A33">
        <v>2020</v>
      </c>
      <c r="B33" t="s">
        <v>55</v>
      </c>
      <c r="C33" t="s">
        <v>32</v>
      </c>
      <c r="D33" s="1">
        <v>1830</v>
      </c>
      <c r="E33" s="1">
        <v>19954</v>
      </c>
      <c r="F33" s="2">
        <v>92355</v>
      </c>
    </row>
    <row r="34" spans="1:6" x14ac:dyDescent="0.25">
      <c r="A34">
        <v>2020</v>
      </c>
      <c r="B34" t="s">
        <v>55</v>
      </c>
      <c r="C34" t="s">
        <v>33</v>
      </c>
      <c r="D34" s="1">
        <v>2541</v>
      </c>
      <c r="E34" s="1">
        <v>25841</v>
      </c>
      <c r="F34" s="2">
        <v>51404</v>
      </c>
    </row>
    <row r="35" spans="1:6" x14ac:dyDescent="0.25">
      <c r="A35">
        <v>2020</v>
      </c>
      <c r="B35" t="s">
        <v>55</v>
      </c>
      <c r="C35" t="s">
        <v>34</v>
      </c>
      <c r="D35" s="1">
        <v>4355</v>
      </c>
      <c r="E35" s="1">
        <v>40722</v>
      </c>
      <c r="F35" s="2">
        <v>90660</v>
      </c>
    </row>
    <row r="36" spans="1:6" x14ac:dyDescent="0.25">
      <c r="A36">
        <v>2020</v>
      </c>
      <c r="B36" t="s">
        <v>55</v>
      </c>
      <c r="C36" t="s">
        <v>35</v>
      </c>
      <c r="D36" s="1">
        <v>4739</v>
      </c>
      <c r="E36" s="1">
        <v>54360</v>
      </c>
      <c r="F36" s="2">
        <v>40689</v>
      </c>
    </row>
    <row r="37" spans="1:6" x14ac:dyDescent="0.25">
      <c r="A37">
        <v>2020</v>
      </c>
      <c r="B37" t="s">
        <v>55</v>
      </c>
      <c r="C37" t="s">
        <v>36</v>
      </c>
      <c r="D37" s="1">
        <v>3629</v>
      </c>
      <c r="E37" s="1">
        <v>47789</v>
      </c>
      <c r="F37" s="2">
        <v>61949</v>
      </c>
    </row>
    <row r="38" spans="1:6" x14ac:dyDescent="0.25">
      <c r="A38">
        <v>2020</v>
      </c>
      <c r="B38" t="s">
        <v>55</v>
      </c>
      <c r="C38" t="s">
        <v>37</v>
      </c>
      <c r="D38">
        <v>205</v>
      </c>
      <c r="E38" s="1">
        <v>1128</v>
      </c>
      <c r="F38" s="2">
        <v>42071</v>
      </c>
    </row>
    <row r="39" spans="1:6" x14ac:dyDescent="0.25">
      <c r="A39">
        <v>2020</v>
      </c>
      <c r="B39" t="s">
        <v>55</v>
      </c>
      <c r="C39" t="s">
        <v>38</v>
      </c>
      <c r="D39" s="1">
        <v>1375</v>
      </c>
      <c r="E39" s="1">
        <v>12442</v>
      </c>
      <c r="F39" s="2">
        <v>44990</v>
      </c>
    </row>
    <row r="40" spans="1:6" x14ac:dyDescent="0.25">
      <c r="A40">
        <v>2020</v>
      </c>
      <c r="B40" t="s">
        <v>55</v>
      </c>
      <c r="C40" t="s">
        <v>39</v>
      </c>
      <c r="D40" s="1">
        <v>1099</v>
      </c>
      <c r="E40" s="1">
        <v>7137</v>
      </c>
      <c r="F40" s="2">
        <v>45582</v>
      </c>
    </row>
    <row r="41" spans="1:6" x14ac:dyDescent="0.25">
      <c r="A41">
        <v>2020</v>
      </c>
      <c r="B41" t="s">
        <v>55</v>
      </c>
      <c r="C41" t="s">
        <v>40</v>
      </c>
      <c r="D41" s="1">
        <v>1130</v>
      </c>
      <c r="E41" s="1">
        <v>11134</v>
      </c>
      <c r="F41" s="2">
        <v>48930</v>
      </c>
    </row>
    <row r="42" spans="1:6" x14ac:dyDescent="0.25">
      <c r="A42">
        <v>2020</v>
      </c>
      <c r="B42" t="s">
        <v>55</v>
      </c>
      <c r="C42" t="s">
        <v>41</v>
      </c>
      <c r="D42" s="1">
        <v>19698</v>
      </c>
      <c r="E42" s="1">
        <v>249859</v>
      </c>
      <c r="F42" s="2">
        <v>117086</v>
      </c>
    </row>
    <row r="43" spans="1:6" x14ac:dyDescent="0.25">
      <c r="A43">
        <v>2020</v>
      </c>
      <c r="B43" t="s">
        <v>55</v>
      </c>
      <c r="C43" t="s">
        <v>42</v>
      </c>
      <c r="D43" s="1">
        <v>1066</v>
      </c>
      <c r="E43" s="1">
        <v>14648</v>
      </c>
      <c r="F43" s="2">
        <v>65747</v>
      </c>
    </row>
    <row r="44" spans="1:6" x14ac:dyDescent="0.25">
      <c r="A44">
        <v>2020</v>
      </c>
      <c r="B44" t="s">
        <v>55</v>
      </c>
      <c r="C44" t="s">
        <v>43</v>
      </c>
      <c r="D44">
        <v>571</v>
      </c>
      <c r="E44" s="1">
        <v>4095</v>
      </c>
      <c r="F44" s="2">
        <v>41096</v>
      </c>
    </row>
    <row r="45" spans="1:6" x14ac:dyDescent="0.25">
      <c r="A45">
        <v>2020</v>
      </c>
      <c r="B45" t="s">
        <v>55</v>
      </c>
      <c r="C45" t="s">
        <v>44</v>
      </c>
      <c r="D45" s="1">
        <v>2073</v>
      </c>
      <c r="E45" s="1">
        <v>17603</v>
      </c>
      <c r="F45" s="2">
        <v>48671</v>
      </c>
    </row>
    <row r="46" spans="1:6" x14ac:dyDescent="0.25">
      <c r="A46">
        <v>2020</v>
      </c>
      <c r="B46" t="s">
        <v>55</v>
      </c>
      <c r="C46" t="s">
        <v>45</v>
      </c>
      <c r="D46" s="1">
        <v>6971</v>
      </c>
      <c r="E46" s="1">
        <v>101358</v>
      </c>
      <c r="F46" s="2">
        <v>36964</v>
      </c>
    </row>
    <row r="47" spans="1:6" x14ac:dyDescent="0.25">
      <c r="A47">
        <v>2020</v>
      </c>
      <c r="B47" t="s">
        <v>55</v>
      </c>
      <c r="C47" t="s">
        <v>46</v>
      </c>
      <c r="D47" s="1">
        <v>1117</v>
      </c>
      <c r="E47" s="1">
        <v>18455</v>
      </c>
      <c r="F47" s="2">
        <v>78059</v>
      </c>
    </row>
    <row r="48" spans="1:6" x14ac:dyDescent="0.25">
      <c r="A48">
        <v>2020</v>
      </c>
      <c r="B48" t="s">
        <v>55</v>
      </c>
      <c r="C48" t="s">
        <v>47</v>
      </c>
      <c r="D48" s="1">
        <v>2872</v>
      </c>
      <c r="E48" s="1">
        <v>30781</v>
      </c>
      <c r="F48" s="2">
        <v>41928</v>
      </c>
    </row>
    <row r="49" spans="1:6" x14ac:dyDescent="0.25">
      <c r="A49">
        <v>2020</v>
      </c>
      <c r="B49" t="s">
        <v>55</v>
      </c>
      <c r="C49" t="s">
        <v>48</v>
      </c>
      <c r="D49" s="1">
        <v>1440</v>
      </c>
      <c r="E49" s="1">
        <v>19091</v>
      </c>
      <c r="F49" s="2">
        <v>83063</v>
      </c>
    </row>
    <row r="50" spans="1:6" x14ac:dyDescent="0.25">
      <c r="A50">
        <v>2020</v>
      </c>
      <c r="B50" t="s">
        <v>51</v>
      </c>
      <c r="C50" t="s">
        <v>1</v>
      </c>
      <c r="D50" s="1">
        <v>10335</v>
      </c>
      <c r="E50" s="1">
        <v>92772</v>
      </c>
      <c r="F50" s="2">
        <v>59279</v>
      </c>
    </row>
    <row r="51" spans="1:6" x14ac:dyDescent="0.25">
      <c r="A51">
        <v>2020</v>
      </c>
      <c r="B51" t="s">
        <v>51</v>
      </c>
      <c r="C51" t="s">
        <v>2</v>
      </c>
      <c r="D51" s="1">
        <v>14006</v>
      </c>
      <c r="E51" s="1">
        <v>173852</v>
      </c>
      <c r="F51" s="2">
        <v>63056</v>
      </c>
    </row>
    <row r="52" spans="1:6" x14ac:dyDescent="0.25">
      <c r="A52">
        <v>2020</v>
      </c>
      <c r="B52" t="s">
        <v>51</v>
      </c>
      <c r="C52" t="s">
        <v>3</v>
      </c>
      <c r="D52" s="1">
        <v>7277</v>
      </c>
      <c r="E52" s="1">
        <v>53142</v>
      </c>
      <c r="F52" s="2">
        <v>52247</v>
      </c>
    </row>
    <row r="53" spans="1:6" x14ac:dyDescent="0.25">
      <c r="A53">
        <v>2020</v>
      </c>
      <c r="B53" t="s">
        <v>51</v>
      </c>
      <c r="C53" t="s">
        <v>4</v>
      </c>
      <c r="D53" s="1">
        <v>86322</v>
      </c>
      <c r="E53" s="1">
        <v>855879</v>
      </c>
      <c r="F53" s="2">
        <v>76740</v>
      </c>
    </row>
    <row r="54" spans="1:6" x14ac:dyDescent="0.25">
      <c r="A54">
        <v>2020</v>
      </c>
      <c r="B54" t="s">
        <v>51</v>
      </c>
      <c r="C54" t="s">
        <v>5</v>
      </c>
      <c r="D54" s="1">
        <v>21025</v>
      </c>
      <c r="E54" s="1">
        <v>174730</v>
      </c>
      <c r="F54" s="2">
        <v>68209</v>
      </c>
    </row>
    <row r="55" spans="1:6" x14ac:dyDescent="0.25">
      <c r="A55">
        <v>2020</v>
      </c>
      <c r="B55" t="s">
        <v>51</v>
      </c>
      <c r="C55" t="s">
        <v>6</v>
      </c>
      <c r="D55" s="1">
        <v>9415</v>
      </c>
      <c r="E55" s="1">
        <v>56915</v>
      </c>
      <c r="F55" s="2">
        <v>75591</v>
      </c>
    </row>
    <row r="56" spans="1:6" x14ac:dyDescent="0.25">
      <c r="A56">
        <v>2020</v>
      </c>
      <c r="B56" t="s">
        <v>51</v>
      </c>
      <c r="C56" t="s">
        <v>7</v>
      </c>
      <c r="D56" s="1">
        <v>3106</v>
      </c>
      <c r="E56" s="1">
        <v>22403</v>
      </c>
      <c r="F56" s="2">
        <v>64977</v>
      </c>
    </row>
    <row r="57" spans="1:6" x14ac:dyDescent="0.25">
      <c r="A57">
        <v>2020</v>
      </c>
      <c r="B57" t="s">
        <v>51</v>
      </c>
      <c r="C57" t="s">
        <v>8</v>
      </c>
      <c r="D57" s="1">
        <v>76308</v>
      </c>
      <c r="E57" s="1">
        <v>561991</v>
      </c>
      <c r="F57" s="2">
        <v>55910</v>
      </c>
    </row>
    <row r="58" spans="1:6" x14ac:dyDescent="0.25">
      <c r="A58">
        <v>2020</v>
      </c>
      <c r="B58" t="s">
        <v>51</v>
      </c>
      <c r="C58" t="s">
        <v>9</v>
      </c>
      <c r="D58" s="1">
        <v>22906</v>
      </c>
      <c r="E58" s="1">
        <v>200710</v>
      </c>
      <c r="F58" s="2">
        <v>66214</v>
      </c>
    </row>
    <row r="59" spans="1:6" x14ac:dyDescent="0.25">
      <c r="A59">
        <v>2020</v>
      </c>
      <c r="B59" t="s">
        <v>51</v>
      </c>
      <c r="C59" t="s">
        <v>10</v>
      </c>
      <c r="D59" s="1">
        <v>9159</v>
      </c>
      <c r="E59" s="1">
        <v>53385</v>
      </c>
      <c r="F59" s="2">
        <v>48649</v>
      </c>
    </row>
    <row r="60" spans="1:6" x14ac:dyDescent="0.25">
      <c r="A60">
        <v>2020</v>
      </c>
      <c r="B60" t="s">
        <v>51</v>
      </c>
      <c r="C60" t="s">
        <v>11</v>
      </c>
      <c r="D60" s="1">
        <v>32538</v>
      </c>
      <c r="E60" s="1">
        <v>216664</v>
      </c>
      <c r="F60" s="2">
        <v>76581</v>
      </c>
    </row>
    <row r="61" spans="1:6" x14ac:dyDescent="0.25">
      <c r="A61">
        <v>2020</v>
      </c>
      <c r="B61" t="s">
        <v>51</v>
      </c>
      <c r="C61" t="s">
        <v>12</v>
      </c>
      <c r="D61" s="1">
        <v>15617</v>
      </c>
      <c r="E61" s="1">
        <v>144001</v>
      </c>
      <c r="F61" s="2">
        <v>62619</v>
      </c>
    </row>
    <row r="62" spans="1:6" x14ac:dyDescent="0.25">
      <c r="A62">
        <v>2020</v>
      </c>
      <c r="B62" t="s">
        <v>51</v>
      </c>
      <c r="C62" t="s">
        <v>13</v>
      </c>
      <c r="D62" s="1">
        <v>9434</v>
      </c>
      <c r="E62" s="1">
        <v>76561</v>
      </c>
      <c r="F62" s="2">
        <v>61831</v>
      </c>
    </row>
    <row r="63" spans="1:6" x14ac:dyDescent="0.25">
      <c r="A63">
        <v>2020</v>
      </c>
      <c r="B63" t="s">
        <v>51</v>
      </c>
      <c r="C63" t="s">
        <v>14</v>
      </c>
      <c r="D63" s="1">
        <v>7355</v>
      </c>
      <c r="E63" s="1">
        <v>63118</v>
      </c>
      <c r="F63" s="2">
        <v>59126</v>
      </c>
    </row>
    <row r="64" spans="1:6" x14ac:dyDescent="0.25">
      <c r="A64">
        <v>2020</v>
      </c>
      <c r="B64" t="s">
        <v>51</v>
      </c>
      <c r="C64" t="s">
        <v>15</v>
      </c>
      <c r="D64" s="1">
        <v>9832</v>
      </c>
      <c r="E64" s="1">
        <v>77924</v>
      </c>
      <c r="F64" s="2">
        <v>58484</v>
      </c>
    </row>
    <row r="65" spans="1:6" x14ac:dyDescent="0.25">
      <c r="A65">
        <v>2020</v>
      </c>
      <c r="B65" t="s">
        <v>51</v>
      </c>
      <c r="C65" t="s">
        <v>16</v>
      </c>
      <c r="D65" s="1">
        <v>11349</v>
      </c>
      <c r="E65" s="1">
        <v>121521</v>
      </c>
      <c r="F65" s="2">
        <v>65354</v>
      </c>
    </row>
    <row r="66" spans="1:6" x14ac:dyDescent="0.25">
      <c r="A66">
        <v>2020</v>
      </c>
      <c r="B66" t="s">
        <v>51</v>
      </c>
      <c r="C66" t="s">
        <v>17</v>
      </c>
      <c r="D66" s="1">
        <v>5732</v>
      </c>
      <c r="E66" s="1">
        <v>30344</v>
      </c>
      <c r="F66" s="2">
        <v>55607</v>
      </c>
    </row>
    <row r="67" spans="1:6" x14ac:dyDescent="0.25">
      <c r="A67">
        <v>2020</v>
      </c>
      <c r="B67" t="s">
        <v>51</v>
      </c>
      <c r="C67" t="s">
        <v>18</v>
      </c>
      <c r="D67" s="1">
        <v>16346</v>
      </c>
      <c r="E67" s="1">
        <v>160039</v>
      </c>
      <c r="F67" s="2">
        <v>70642</v>
      </c>
    </row>
    <row r="68" spans="1:6" x14ac:dyDescent="0.25">
      <c r="A68">
        <v>2020</v>
      </c>
      <c r="B68" t="s">
        <v>51</v>
      </c>
      <c r="C68" t="s">
        <v>19</v>
      </c>
      <c r="D68" s="1">
        <v>21102</v>
      </c>
      <c r="E68" s="1">
        <v>152366</v>
      </c>
      <c r="F68" s="2">
        <v>84958</v>
      </c>
    </row>
    <row r="69" spans="1:6" x14ac:dyDescent="0.25">
      <c r="A69">
        <v>2020</v>
      </c>
      <c r="B69" t="s">
        <v>51</v>
      </c>
      <c r="C69" t="s">
        <v>20</v>
      </c>
      <c r="D69" s="1">
        <v>21646</v>
      </c>
      <c r="E69" s="1">
        <v>164028</v>
      </c>
      <c r="F69" s="2">
        <v>67631</v>
      </c>
    </row>
    <row r="70" spans="1:6" x14ac:dyDescent="0.25">
      <c r="A70">
        <v>2020</v>
      </c>
      <c r="B70" t="s">
        <v>51</v>
      </c>
      <c r="C70" t="s">
        <v>21</v>
      </c>
      <c r="D70" s="1">
        <v>16952</v>
      </c>
      <c r="E70" s="1">
        <v>123866</v>
      </c>
      <c r="F70" s="2">
        <v>72942</v>
      </c>
    </row>
    <row r="71" spans="1:6" x14ac:dyDescent="0.25">
      <c r="A71">
        <v>2020</v>
      </c>
      <c r="B71" t="s">
        <v>51</v>
      </c>
      <c r="C71" t="s">
        <v>22</v>
      </c>
      <c r="D71" s="1">
        <v>5839</v>
      </c>
      <c r="E71" s="1">
        <v>43888</v>
      </c>
      <c r="F71" s="2">
        <v>53779</v>
      </c>
    </row>
    <row r="72" spans="1:6" x14ac:dyDescent="0.25">
      <c r="A72">
        <v>2020</v>
      </c>
      <c r="B72" t="s">
        <v>51</v>
      </c>
      <c r="C72" t="s">
        <v>23</v>
      </c>
      <c r="D72" s="1">
        <v>15735</v>
      </c>
      <c r="E72" s="1">
        <v>126375</v>
      </c>
      <c r="F72" s="2">
        <v>64664</v>
      </c>
    </row>
    <row r="73" spans="1:6" x14ac:dyDescent="0.25">
      <c r="A73">
        <v>2020</v>
      </c>
      <c r="B73" t="s">
        <v>51</v>
      </c>
      <c r="C73" t="s">
        <v>24</v>
      </c>
      <c r="D73" s="1">
        <v>6813</v>
      </c>
      <c r="E73" s="1">
        <v>30793</v>
      </c>
      <c r="F73" s="2">
        <v>55897</v>
      </c>
    </row>
    <row r="74" spans="1:6" x14ac:dyDescent="0.25">
      <c r="A74">
        <v>2020</v>
      </c>
      <c r="B74" t="s">
        <v>51</v>
      </c>
      <c r="C74" t="s">
        <v>25</v>
      </c>
      <c r="D74" s="1">
        <v>7000</v>
      </c>
      <c r="E74" s="1">
        <v>55249</v>
      </c>
      <c r="F74" s="2">
        <v>56548</v>
      </c>
    </row>
    <row r="75" spans="1:6" x14ac:dyDescent="0.25">
      <c r="A75">
        <v>2020</v>
      </c>
      <c r="B75" t="s">
        <v>51</v>
      </c>
      <c r="C75" t="s">
        <v>26</v>
      </c>
      <c r="D75" s="1">
        <v>5757</v>
      </c>
      <c r="E75" s="1">
        <v>93450</v>
      </c>
      <c r="F75" s="2">
        <v>67902</v>
      </c>
    </row>
    <row r="76" spans="1:6" x14ac:dyDescent="0.25">
      <c r="A76">
        <v>2020</v>
      </c>
      <c r="B76" t="s">
        <v>51</v>
      </c>
      <c r="C76" t="s">
        <v>27</v>
      </c>
      <c r="D76" s="1">
        <v>4901</v>
      </c>
      <c r="E76" s="1">
        <v>27866</v>
      </c>
      <c r="F76" s="2">
        <v>68870</v>
      </c>
    </row>
    <row r="77" spans="1:6" x14ac:dyDescent="0.25">
      <c r="A77">
        <v>2020</v>
      </c>
      <c r="B77" t="s">
        <v>51</v>
      </c>
      <c r="C77" t="s">
        <v>28</v>
      </c>
      <c r="D77" s="1">
        <v>22711</v>
      </c>
      <c r="E77" s="1">
        <v>151469</v>
      </c>
      <c r="F77" s="2">
        <v>77924</v>
      </c>
    </row>
    <row r="78" spans="1:6" x14ac:dyDescent="0.25">
      <c r="A78">
        <v>2020</v>
      </c>
      <c r="B78" t="s">
        <v>51</v>
      </c>
      <c r="C78" t="s">
        <v>29</v>
      </c>
      <c r="D78" s="1">
        <v>5485</v>
      </c>
      <c r="E78" s="1">
        <v>48577</v>
      </c>
      <c r="F78" s="2">
        <v>53439</v>
      </c>
    </row>
    <row r="79" spans="1:6" x14ac:dyDescent="0.25">
      <c r="A79">
        <v>2020</v>
      </c>
      <c r="B79" t="s">
        <v>51</v>
      </c>
      <c r="C79" t="s">
        <v>30</v>
      </c>
      <c r="D79" s="1">
        <v>50929</v>
      </c>
      <c r="E79" s="1">
        <v>361821</v>
      </c>
      <c r="F79" s="2">
        <v>78199</v>
      </c>
    </row>
    <row r="80" spans="1:6" x14ac:dyDescent="0.25">
      <c r="A80">
        <v>2020</v>
      </c>
      <c r="B80" t="s">
        <v>51</v>
      </c>
      <c r="C80" t="s">
        <v>31</v>
      </c>
      <c r="D80" s="1">
        <v>29231</v>
      </c>
      <c r="E80" s="1">
        <v>229369</v>
      </c>
      <c r="F80" s="2">
        <v>59177</v>
      </c>
    </row>
    <row r="81" spans="1:6" x14ac:dyDescent="0.25">
      <c r="A81">
        <v>2020</v>
      </c>
      <c r="B81" t="s">
        <v>51</v>
      </c>
      <c r="C81" t="s">
        <v>32</v>
      </c>
      <c r="D81" s="1">
        <v>3669</v>
      </c>
      <c r="E81" s="1">
        <v>25364</v>
      </c>
      <c r="F81" s="2">
        <v>66729</v>
      </c>
    </row>
    <row r="82" spans="1:6" x14ac:dyDescent="0.25">
      <c r="A82">
        <v>2020</v>
      </c>
      <c r="B82" t="s">
        <v>51</v>
      </c>
      <c r="C82" t="s">
        <v>33</v>
      </c>
      <c r="D82" s="1">
        <v>23650</v>
      </c>
      <c r="E82" s="1">
        <v>218531</v>
      </c>
      <c r="F82" s="2">
        <v>65104</v>
      </c>
    </row>
    <row r="83" spans="1:6" x14ac:dyDescent="0.25">
      <c r="A83">
        <v>2020</v>
      </c>
      <c r="B83" t="s">
        <v>51</v>
      </c>
      <c r="C83" t="s">
        <v>34</v>
      </c>
      <c r="D83" s="1">
        <v>9855</v>
      </c>
      <c r="E83" s="1">
        <v>78772</v>
      </c>
      <c r="F83" s="2">
        <v>55099</v>
      </c>
    </row>
    <row r="84" spans="1:6" x14ac:dyDescent="0.25">
      <c r="A84">
        <v>2020</v>
      </c>
      <c r="B84" t="s">
        <v>51</v>
      </c>
      <c r="C84" t="s">
        <v>35</v>
      </c>
      <c r="D84" s="1">
        <v>14899</v>
      </c>
      <c r="E84" s="1">
        <v>107568</v>
      </c>
      <c r="F84" s="2">
        <v>66876</v>
      </c>
    </row>
    <row r="85" spans="1:6" x14ac:dyDescent="0.25">
      <c r="A85">
        <v>2020</v>
      </c>
      <c r="B85" t="s">
        <v>51</v>
      </c>
      <c r="C85" t="s">
        <v>36</v>
      </c>
      <c r="D85" s="1">
        <v>29345</v>
      </c>
      <c r="E85" s="1">
        <v>241570</v>
      </c>
      <c r="F85" s="2">
        <v>70639</v>
      </c>
    </row>
    <row r="86" spans="1:6" x14ac:dyDescent="0.25">
      <c r="A86">
        <v>2020</v>
      </c>
      <c r="B86" t="s">
        <v>51</v>
      </c>
      <c r="C86" t="s">
        <v>37</v>
      </c>
      <c r="D86" s="1">
        <v>3878</v>
      </c>
      <c r="E86" s="1">
        <v>18924</v>
      </c>
      <c r="F86" s="2">
        <v>66955</v>
      </c>
    </row>
    <row r="87" spans="1:6" x14ac:dyDescent="0.25">
      <c r="A87">
        <v>2020</v>
      </c>
      <c r="B87" t="s">
        <v>51</v>
      </c>
      <c r="C87" t="s">
        <v>38</v>
      </c>
      <c r="D87" s="1">
        <v>13348</v>
      </c>
      <c r="E87" s="1">
        <v>103647</v>
      </c>
      <c r="F87" s="2">
        <v>57906</v>
      </c>
    </row>
    <row r="88" spans="1:6" x14ac:dyDescent="0.25">
      <c r="A88">
        <v>2020</v>
      </c>
      <c r="B88" t="s">
        <v>51</v>
      </c>
      <c r="C88" t="s">
        <v>39</v>
      </c>
      <c r="D88" s="1">
        <v>3954</v>
      </c>
      <c r="E88" s="1">
        <v>24410</v>
      </c>
      <c r="F88" s="2">
        <v>54005</v>
      </c>
    </row>
    <row r="89" spans="1:6" x14ac:dyDescent="0.25">
      <c r="A89">
        <v>2020</v>
      </c>
      <c r="B89" t="s">
        <v>51</v>
      </c>
      <c r="C89" t="s">
        <v>40</v>
      </c>
      <c r="D89" s="1">
        <v>12894</v>
      </c>
      <c r="E89" s="1">
        <v>130050</v>
      </c>
      <c r="F89" s="2">
        <v>62259</v>
      </c>
    </row>
    <row r="90" spans="1:6" x14ac:dyDescent="0.25">
      <c r="A90">
        <v>2020</v>
      </c>
      <c r="B90" t="s">
        <v>51</v>
      </c>
      <c r="C90" t="s">
        <v>41</v>
      </c>
      <c r="D90" s="1">
        <v>55014</v>
      </c>
      <c r="E90" s="1">
        <v>737125</v>
      </c>
      <c r="F90" s="2">
        <v>68929</v>
      </c>
    </row>
    <row r="91" spans="1:6" x14ac:dyDescent="0.25">
      <c r="A91">
        <v>2020</v>
      </c>
      <c r="B91" t="s">
        <v>51</v>
      </c>
      <c r="C91" t="s">
        <v>42</v>
      </c>
      <c r="D91" s="1">
        <v>12932</v>
      </c>
      <c r="E91" s="1">
        <v>115416</v>
      </c>
      <c r="F91" s="2">
        <v>57474</v>
      </c>
    </row>
    <row r="92" spans="1:6" x14ac:dyDescent="0.25">
      <c r="A92">
        <v>2020</v>
      </c>
      <c r="B92" t="s">
        <v>51</v>
      </c>
      <c r="C92" t="s">
        <v>43</v>
      </c>
      <c r="D92" s="1">
        <v>2839</v>
      </c>
      <c r="E92" s="1">
        <v>14269</v>
      </c>
      <c r="F92" s="2">
        <v>55130</v>
      </c>
    </row>
    <row r="93" spans="1:6" x14ac:dyDescent="0.25">
      <c r="A93">
        <v>2020</v>
      </c>
      <c r="B93" t="s">
        <v>51</v>
      </c>
      <c r="C93" t="s">
        <v>44</v>
      </c>
      <c r="D93" s="1">
        <v>21412</v>
      </c>
      <c r="E93" s="1">
        <v>201137</v>
      </c>
      <c r="F93" s="2">
        <v>63521</v>
      </c>
    </row>
    <row r="94" spans="1:6" x14ac:dyDescent="0.25">
      <c r="A94">
        <v>2020</v>
      </c>
      <c r="B94" t="s">
        <v>51</v>
      </c>
      <c r="C94" t="s">
        <v>45</v>
      </c>
      <c r="D94" s="1">
        <v>27072</v>
      </c>
      <c r="E94" s="1">
        <v>199964</v>
      </c>
      <c r="F94" s="2">
        <v>69827</v>
      </c>
    </row>
    <row r="95" spans="1:6" x14ac:dyDescent="0.25">
      <c r="A95">
        <v>2020</v>
      </c>
      <c r="B95" t="s">
        <v>51</v>
      </c>
      <c r="C95" t="s">
        <v>46</v>
      </c>
      <c r="D95" s="1">
        <v>4300</v>
      </c>
      <c r="E95" s="1">
        <v>29583</v>
      </c>
      <c r="F95" s="2">
        <v>60489</v>
      </c>
    </row>
    <row r="96" spans="1:6" x14ac:dyDescent="0.25">
      <c r="A96">
        <v>2020</v>
      </c>
      <c r="B96" t="s">
        <v>51</v>
      </c>
      <c r="C96" t="s">
        <v>47</v>
      </c>
      <c r="D96" s="1">
        <v>14760</v>
      </c>
      <c r="E96" s="1">
        <v>123846</v>
      </c>
      <c r="F96" s="2">
        <v>66423</v>
      </c>
    </row>
    <row r="97" spans="1:6" x14ac:dyDescent="0.25">
      <c r="A97">
        <v>2020</v>
      </c>
      <c r="B97" t="s">
        <v>51</v>
      </c>
      <c r="C97" t="s">
        <v>48</v>
      </c>
      <c r="D97" s="1">
        <v>3478</v>
      </c>
      <c r="E97" s="1">
        <v>21200</v>
      </c>
      <c r="F97" s="2">
        <v>56640</v>
      </c>
    </row>
    <row r="98" spans="1:6" x14ac:dyDescent="0.25">
      <c r="A98">
        <v>2020</v>
      </c>
      <c r="B98" t="s">
        <v>52</v>
      </c>
      <c r="C98" t="s">
        <v>1</v>
      </c>
      <c r="D98" s="1">
        <v>5773</v>
      </c>
      <c r="E98" s="1">
        <v>258328</v>
      </c>
      <c r="F98" s="2">
        <v>60387</v>
      </c>
    </row>
    <row r="99" spans="1:6" x14ac:dyDescent="0.25">
      <c r="A99">
        <v>2020</v>
      </c>
      <c r="B99" t="s">
        <v>52</v>
      </c>
      <c r="C99" t="s">
        <v>2</v>
      </c>
      <c r="D99" s="1">
        <v>5213</v>
      </c>
      <c r="E99" s="1">
        <v>177110</v>
      </c>
      <c r="F99" s="2">
        <v>82375</v>
      </c>
    </row>
    <row r="100" spans="1:6" x14ac:dyDescent="0.25">
      <c r="A100">
        <v>2020</v>
      </c>
      <c r="B100" t="s">
        <v>52</v>
      </c>
      <c r="C100" t="s">
        <v>3</v>
      </c>
      <c r="D100" s="1">
        <v>2961</v>
      </c>
      <c r="E100" s="1">
        <v>154922</v>
      </c>
      <c r="F100" s="2">
        <v>51570</v>
      </c>
    </row>
    <row r="101" spans="1:6" x14ac:dyDescent="0.25">
      <c r="A101">
        <v>2020</v>
      </c>
      <c r="B101" t="s">
        <v>52</v>
      </c>
      <c r="C101" t="s">
        <v>4</v>
      </c>
      <c r="D101" s="1">
        <v>44156</v>
      </c>
      <c r="E101" s="1">
        <v>1263780</v>
      </c>
      <c r="F101" s="2">
        <v>109888</v>
      </c>
    </row>
    <row r="102" spans="1:6" x14ac:dyDescent="0.25">
      <c r="A102">
        <v>2020</v>
      </c>
      <c r="B102" t="s">
        <v>52</v>
      </c>
      <c r="C102" t="s">
        <v>5</v>
      </c>
      <c r="D102" s="1">
        <v>5888</v>
      </c>
      <c r="E102" s="1">
        <v>146473</v>
      </c>
      <c r="F102" s="2">
        <v>77207</v>
      </c>
    </row>
    <row r="103" spans="1:6" x14ac:dyDescent="0.25">
      <c r="A103">
        <v>2020</v>
      </c>
      <c r="B103" t="s">
        <v>52</v>
      </c>
      <c r="C103" t="s">
        <v>6</v>
      </c>
      <c r="D103" s="1">
        <v>4386</v>
      </c>
      <c r="E103" s="1">
        <v>153812</v>
      </c>
      <c r="F103" s="2">
        <v>87706</v>
      </c>
    </row>
    <row r="104" spans="1:6" x14ac:dyDescent="0.25">
      <c r="A104">
        <v>2020</v>
      </c>
      <c r="B104" t="s">
        <v>52</v>
      </c>
      <c r="C104" t="s">
        <v>7</v>
      </c>
      <c r="D104">
        <v>678</v>
      </c>
      <c r="E104" s="1">
        <v>25520</v>
      </c>
      <c r="F104" s="2">
        <v>68049</v>
      </c>
    </row>
    <row r="105" spans="1:6" x14ac:dyDescent="0.25">
      <c r="A105">
        <v>2020</v>
      </c>
      <c r="B105" t="s">
        <v>52</v>
      </c>
      <c r="C105" t="s">
        <v>8</v>
      </c>
      <c r="D105" s="1">
        <v>21275</v>
      </c>
      <c r="E105" s="1">
        <v>376070</v>
      </c>
      <c r="F105" s="2">
        <v>66758</v>
      </c>
    </row>
    <row r="106" spans="1:6" x14ac:dyDescent="0.25">
      <c r="A106">
        <v>2020</v>
      </c>
      <c r="B106" t="s">
        <v>52</v>
      </c>
      <c r="C106" t="s">
        <v>9</v>
      </c>
      <c r="D106" s="1">
        <v>10646</v>
      </c>
      <c r="E106" s="1">
        <v>382938</v>
      </c>
      <c r="F106" s="2">
        <v>60184</v>
      </c>
    </row>
    <row r="107" spans="1:6" x14ac:dyDescent="0.25">
      <c r="A107">
        <v>2020</v>
      </c>
      <c r="B107" t="s">
        <v>52</v>
      </c>
      <c r="C107" t="s">
        <v>10</v>
      </c>
      <c r="D107" s="1">
        <v>2886</v>
      </c>
      <c r="E107" s="1">
        <v>67700</v>
      </c>
      <c r="F107" s="2">
        <v>65603</v>
      </c>
    </row>
    <row r="108" spans="1:6" x14ac:dyDescent="0.25">
      <c r="A108">
        <v>2020</v>
      </c>
      <c r="B108" t="s">
        <v>52</v>
      </c>
      <c r="C108" t="s">
        <v>11</v>
      </c>
      <c r="D108" s="1">
        <v>18033</v>
      </c>
      <c r="E108" s="1">
        <v>554712</v>
      </c>
      <c r="F108" s="2">
        <v>74855</v>
      </c>
    </row>
    <row r="109" spans="1:6" x14ac:dyDescent="0.25">
      <c r="A109">
        <v>2020</v>
      </c>
      <c r="B109" t="s">
        <v>52</v>
      </c>
      <c r="C109" t="s">
        <v>12</v>
      </c>
      <c r="D109" s="1">
        <v>9255</v>
      </c>
      <c r="E109" s="1">
        <v>504460</v>
      </c>
      <c r="F109" s="2">
        <v>65092</v>
      </c>
    </row>
    <row r="110" spans="1:6" x14ac:dyDescent="0.25">
      <c r="A110">
        <v>2020</v>
      </c>
      <c r="B110" t="s">
        <v>52</v>
      </c>
      <c r="C110" t="s">
        <v>13</v>
      </c>
      <c r="D110" s="1">
        <v>4099</v>
      </c>
      <c r="E110" s="1">
        <v>216615</v>
      </c>
      <c r="F110" s="2">
        <v>63103</v>
      </c>
    </row>
    <row r="111" spans="1:6" x14ac:dyDescent="0.25">
      <c r="A111">
        <v>2020</v>
      </c>
      <c r="B111" t="s">
        <v>52</v>
      </c>
      <c r="C111" t="s">
        <v>14</v>
      </c>
      <c r="D111" s="1">
        <v>3109</v>
      </c>
      <c r="E111" s="1">
        <v>158784</v>
      </c>
      <c r="F111" s="2">
        <v>62958</v>
      </c>
    </row>
    <row r="112" spans="1:6" x14ac:dyDescent="0.25">
      <c r="A112">
        <v>2020</v>
      </c>
      <c r="B112" t="s">
        <v>52</v>
      </c>
      <c r="C112" t="s">
        <v>15</v>
      </c>
      <c r="D112" s="1">
        <v>4978</v>
      </c>
      <c r="E112" s="1">
        <v>235564</v>
      </c>
      <c r="F112" s="2">
        <v>62902</v>
      </c>
    </row>
    <row r="113" spans="1:6" x14ac:dyDescent="0.25">
      <c r="A113">
        <v>2020</v>
      </c>
      <c r="B113" t="s">
        <v>52</v>
      </c>
      <c r="C113" t="s">
        <v>16</v>
      </c>
      <c r="D113" s="1">
        <v>4501</v>
      </c>
      <c r="E113" s="1">
        <v>131430</v>
      </c>
      <c r="F113" s="2">
        <v>78183</v>
      </c>
    </row>
    <row r="114" spans="1:6" x14ac:dyDescent="0.25">
      <c r="A114">
        <v>2020</v>
      </c>
      <c r="B114" t="s">
        <v>52</v>
      </c>
      <c r="C114" t="s">
        <v>17</v>
      </c>
      <c r="D114" s="1">
        <v>1863</v>
      </c>
      <c r="E114" s="1">
        <v>50166</v>
      </c>
      <c r="F114" s="2">
        <v>61682</v>
      </c>
    </row>
    <row r="115" spans="1:6" x14ac:dyDescent="0.25">
      <c r="A115">
        <v>2020</v>
      </c>
      <c r="B115" t="s">
        <v>52</v>
      </c>
      <c r="C115" t="s">
        <v>18</v>
      </c>
      <c r="D115" s="1">
        <v>4168</v>
      </c>
      <c r="E115" s="1">
        <v>108500</v>
      </c>
      <c r="F115" s="2">
        <v>85426</v>
      </c>
    </row>
    <row r="116" spans="1:6" x14ac:dyDescent="0.25">
      <c r="A116">
        <v>2020</v>
      </c>
      <c r="B116" t="s">
        <v>52</v>
      </c>
      <c r="C116" t="s">
        <v>19</v>
      </c>
      <c r="D116" s="1">
        <v>6616</v>
      </c>
      <c r="E116" s="1">
        <v>229741</v>
      </c>
      <c r="F116" s="2">
        <v>96190</v>
      </c>
    </row>
    <row r="117" spans="1:6" x14ac:dyDescent="0.25">
      <c r="A117">
        <v>2020</v>
      </c>
      <c r="B117" t="s">
        <v>52</v>
      </c>
      <c r="C117" t="s">
        <v>20</v>
      </c>
      <c r="D117" s="1">
        <v>17437</v>
      </c>
      <c r="E117" s="1">
        <v>554767</v>
      </c>
      <c r="F117" s="2">
        <v>70769</v>
      </c>
    </row>
    <row r="118" spans="1:6" x14ac:dyDescent="0.25">
      <c r="A118">
        <v>2020</v>
      </c>
      <c r="B118" t="s">
        <v>52</v>
      </c>
      <c r="C118" t="s">
        <v>21</v>
      </c>
      <c r="D118" s="1">
        <v>8284</v>
      </c>
      <c r="E118" s="1">
        <v>309006</v>
      </c>
      <c r="F118" s="2">
        <v>70870</v>
      </c>
    </row>
    <row r="119" spans="1:6" x14ac:dyDescent="0.25">
      <c r="A119">
        <v>2020</v>
      </c>
      <c r="B119" t="s">
        <v>52</v>
      </c>
      <c r="C119" t="s">
        <v>22</v>
      </c>
      <c r="D119" s="1">
        <v>2375</v>
      </c>
      <c r="E119" s="1">
        <v>139480</v>
      </c>
      <c r="F119" s="2">
        <v>51918</v>
      </c>
    </row>
    <row r="120" spans="1:6" x14ac:dyDescent="0.25">
      <c r="A120">
        <v>2020</v>
      </c>
      <c r="B120" t="s">
        <v>52</v>
      </c>
      <c r="C120" t="s">
        <v>23</v>
      </c>
      <c r="D120" s="1">
        <v>6859</v>
      </c>
      <c r="E120" s="1">
        <v>266452</v>
      </c>
      <c r="F120" s="2">
        <v>61836</v>
      </c>
    </row>
    <row r="121" spans="1:6" x14ac:dyDescent="0.25">
      <c r="A121">
        <v>2020</v>
      </c>
      <c r="B121" t="s">
        <v>52</v>
      </c>
      <c r="C121" t="s">
        <v>24</v>
      </c>
      <c r="D121" s="1">
        <v>1672</v>
      </c>
      <c r="E121" s="1">
        <v>20421</v>
      </c>
      <c r="F121" s="2">
        <v>54178</v>
      </c>
    </row>
    <row r="122" spans="1:6" x14ac:dyDescent="0.25">
      <c r="A122">
        <v>2020</v>
      </c>
      <c r="B122" t="s">
        <v>52</v>
      </c>
      <c r="C122" t="s">
        <v>25</v>
      </c>
      <c r="D122" s="1">
        <v>1949</v>
      </c>
      <c r="E122" s="1">
        <v>97530</v>
      </c>
      <c r="F122" s="2">
        <v>56492</v>
      </c>
    </row>
    <row r="123" spans="1:6" x14ac:dyDescent="0.25">
      <c r="A123">
        <v>2020</v>
      </c>
      <c r="B123" t="s">
        <v>52</v>
      </c>
      <c r="C123" t="s">
        <v>26</v>
      </c>
      <c r="D123" s="1">
        <v>2054</v>
      </c>
      <c r="E123" s="1">
        <v>55673</v>
      </c>
      <c r="F123" s="2">
        <v>66821</v>
      </c>
    </row>
    <row r="124" spans="1:6" x14ac:dyDescent="0.25">
      <c r="A124">
        <v>2020</v>
      </c>
      <c r="B124" t="s">
        <v>52</v>
      </c>
      <c r="C124" t="s">
        <v>27</v>
      </c>
      <c r="D124" s="1">
        <v>2001</v>
      </c>
      <c r="E124" s="1">
        <v>67282</v>
      </c>
      <c r="F124" s="2">
        <v>77769</v>
      </c>
    </row>
    <row r="125" spans="1:6" x14ac:dyDescent="0.25">
      <c r="A125">
        <v>2020</v>
      </c>
      <c r="B125" t="s">
        <v>52</v>
      </c>
      <c r="C125" t="s">
        <v>28</v>
      </c>
      <c r="D125" s="1">
        <v>8964</v>
      </c>
      <c r="E125" s="1">
        <v>235850</v>
      </c>
      <c r="F125" s="2">
        <v>86277</v>
      </c>
    </row>
    <row r="126" spans="1:6" x14ac:dyDescent="0.25">
      <c r="A126">
        <v>2020</v>
      </c>
      <c r="B126" t="s">
        <v>52</v>
      </c>
      <c r="C126" t="s">
        <v>29</v>
      </c>
      <c r="D126" s="1">
        <v>1776</v>
      </c>
      <c r="E126" s="1">
        <v>27201</v>
      </c>
      <c r="F126" s="2">
        <v>58794</v>
      </c>
    </row>
    <row r="127" spans="1:6" x14ac:dyDescent="0.25">
      <c r="A127">
        <v>2020</v>
      </c>
      <c r="B127" t="s">
        <v>52</v>
      </c>
      <c r="C127" t="s">
        <v>30</v>
      </c>
      <c r="D127" s="1">
        <v>16292</v>
      </c>
      <c r="E127" s="1">
        <v>399337</v>
      </c>
      <c r="F127" s="2">
        <v>73103</v>
      </c>
    </row>
    <row r="128" spans="1:6" x14ac:dyDescent="0.25">
      <c r="A128">
        <v>2020</v>
      </c>
      <c r="B128" t="s">
        <v>52</v>
      </c>
      <c r="C128" t="s">
        <v>31</v>
      </c>
      <c r="D128" s="1">
        <v>10303</v>
      </c>
      <c r="E128" s="1">
        <v>452637</v>
      </c>
      <c r="F128" s="2">
        <v>63281</v>
      </c>
    </row>
    <row r="129" spans="1:6" x14ac:dyDescent="0.25">
      <c r="A129">
        <v>2020</v>
      </c>
      <c r="B129" t="s">
        <v>52</v>
      </c>
      <c r="C129" t="s">
        <v>32</v>
      </c>
      <c r="D129">
        <v>799</v>
      </c>
      <c r="E129" s="1">
        <v>25259</v>
      </c>
      <c r="F129" s="2">
        <v>57695</v>
      </c>
    </row>
    <row r="130" spans="1:6" x14ac:dyDescent="0.25">
      <c r="A130">
        <v>2020</v>
      </c>
      <c r="B130" t="s">
        <v>52</v>
      </c>
      <c r="C130" t="s">
        <v>33</v>
      </c>
      <c r="D130" s="1">
        <v>15453</v>
      </c>
      <c r="E130" s="1">
        <v>653028</v>
      </c>
      <c r="F130" s="2">
        <v>64995</v>
      </c>
    </row>
    <row r="131" spans="1:6" x14ac:dyDescent="0.25">
      <c r="A131">
        <v>2020</v>
      </c>
      <c r="B131" t="s">
        <v>52</v>
      </c>
      <c r="C131" t="s">
        <v>34</v>
      </c>
      <c r="D131" s="1">
        <v>4178</v>
      </c>
      <c r="E131" s="1">
        <v>131206</v>
      </c>
      <c r="F131" s="2">
        <v>60915</v>
      </c>
    </row>
    <row r="132" spans="1:6" x14ac:dyDescent="0.25">
      <c r="A132">
        <v>2020</v>
      </c>
      <c r="B132" t="s">
        <v>52</v>
      </c>
      <c r="C132" t="s">
        <v>35</v>
      </c>
      <c r="D132" s="1">
        <v>6354</v>
      </c>
      <c r="E132" s="1">
        <v>184947</v>
      </c>
      <c r="F132" s="2">
        <v>74927</v>
      </c>
    </row>
    <row r="133" spans="1:6" x14ac:dyDescent="0.25">
      <c r="A133">
        <v>2020</v>
      </c>
      <c r="B133" t="s">
        <v>52</v>
      </c>
      <c r="C133" t="s">
        <v>36</v>
      </c>
      <c r="D133" s="1">
        <v>14363</v>
      </c>
      <c r="E133" s="1">
        <v>537402</v>
      </c>
      <c r="F133" s="2">
        <v>66931</v>
      </c>
    </row>
    <row r="134" spans="1:6" x14ac:dyDescent="0.25">
      <c r="A134">
        <v>2020</v>
      </c>
      <c r="B134" t="s">
        <v>52</v>
      </c>
      <c r="C134" t="s">
        <v>37</v>
      </c>
      <c r="D134" s="1">
        <v>1516</v>
      </c>
      <c r="E134" s="1">
        <v>37411</v>
      </c>
      <c r="F134" s="2">
        <v>63645</v>
      </c>
    </row>
    <row r="135" spans="1:6" x14ac:dyDescent="0.25">
      <c r="A135">
        <v>2020</v>
      </c>
      <c r="B135" t="s">
        <v>52</v>
      </c>
      <c r="C135" t="s">
        <v>38</v>
      </c>
      <c r="D135" s="1">
        <v>6655</v>
      </c>
      <c r="E135" s="1">
        <v>244395</v>
      </c>
      <c r="F135" s="2">
        <v>61779</v>
      </c>
    </row>
    <row r="136" spans="1:6" x14ac:dyDescent="0.25">
      <c r="A136">
        <v>2020</v>
      </c>
      <c r="B136" t="s">
        <v>52</v>
      </c>
      <c r="C136" t="s">
        <v>39</v>
      </c>
      <c r="D136" s="1">
        <v>1072</v>
      </c>
      <c r="E136" s="1">
        <v>43135</v>
      </c>
      <c r="F136" s="2">
        <v>53285</v>
      </c>
    </row>
    <row r="137" spans="1:6" x14ac:dyDescent="0.25">
      <c r="A137">
        <v>2020</v>
      </c>
      <c r="B137" t="s">
        <v>52</v>
      </c>
      <c r="C137" t="s">
        <v>40</v>
      </c>
      <c r="D137" s="1">
        <v>7620</v>
      </c>
      <c r="E137" s="1">
        <v>334972</v>
      </c>
      <c r="F137" s="2">
        <v>63122</v>
      </c>
    </row>
    <row r="138" spans="1:6" x14ac:dyDescent="0.25">
      <c r="A138">
        <v>2020</v>
      </c>
      <c r="B138" t="s">
        <v>52</v>
      </c>
      <c r="C138" t="s">
        <v>41</v>
      </c>
      <c r="D138" s="1">
        <v>26257</v>
      </c>
      <c r="E138" s="1">
        <v>867807</v>
      </c>
      <c r="F138" s="2">
        <v>81206</v>
      </c>
    </row>
    <row r="139" spans="1:6" x14ac:dyDescent="0.25">
      <c r="A139">
        <v>2020</v>
      </c>
      <c r="B139" t="s">
        <v>52</v>
      </c>
      <c r="C139" t="s">
        <v>42</v>
      </c>
      <c r="D139" s="1">
        <v>4616</v>
      </c>
      <c r="E139" s="1">
        <v>135571</v>
      </c>
      <c r="F139" s="2">
        <v>61796</v>
      </c>
    </row>
    <row r="140" spans="1:6" x14ac:dyDescent="0.25">
      <c r="A140">
        <v>2020</v>
      </c>
      <c r="B140" t="s">
        <v>52</v>
      </c>
      <c r="C140" t="s">
        <v>43</v>
      </c>
      <c r="D140" s="1">
        <v>1107</v>
      </c>
      <c r="E140" s="1">
        <v>28176</v>
      </c>
      <c r="F140" s="2">
        <v>62352</v>
      </c>
    </row>
    <row r="141" spans="1:6" x14ac:dyDescent="0.25">
      <c r="A141">
        <v>2020</v>
      </c>
      <c r="B141" t="s">
        <v>52</v>
      </c>
      <c r="C141" t="s">
        <v>44</v>
      </c>
      <c r="D141" s="1">
        <v>7023</v>
      </c>
      <c r="E141" s="1">
        <v>232300</v>
      </c>
      <c r="F141" s="2">
        <v>63958</v>
      </c>
    </row>
    <row r="142" spans="1:6" x14ac:dyDescent="0.25">
      <c r="A142">
        <v>2020</v>
      </c>
      <c r="B142" t="s">
        <v>52</v>
      </c>
      <c r="C142" t="s">
        <v>45</v>
      </c>
      <c r="D142" s="1">
        <v>7882</v>
      </c>
      <c r="E142" s="1">
        <v>268553</v>
      </c>
      <c r="F142" s="2">
        <v>82000</v>
      </c>
    </row>
    <row r="143" spans="1:6" x14ac:dyDescent="0.25">
      <c r="A143">
        <v>2020</v>
      </c>
      <c r="B143" t="s">
        <v>52</v>
      </c>
      <c r="C143" t="s">
        <v>46</v>
      </c>
      <c r="D143" s="1">
        <v>1261</v>
      </c>
      <c r="E143" s="1">
        <v>44429</v>
      </c>
      <c r="F143" s="2">
        <v>62359</v>
      </c>
    </row>
    <row r="144" spans="1:6" x14ac:dyDescent="0.25">
      <c r="A144">
        <v>2020</v>
      </c>
      <c r="B144" t="s">
        <v>52</v>
      </c>
      <c r="C144" t="s">
        <v>47</v>
      </c>
      <c r="D144" s="1">
        <v>9214</v>
      </c>
      <c r="E144" s="1">
        <v>458262</v>
      </c>
      <c r="F144" s="2">
        <v>61039</v>
      </c>
    </row>
    <row r="145" spans="1:6" x14ac:dyDescent="0.25">
      <c r="A145">
        <v>2020</v>
      </c>
      <c r="B145" t="s">
        <v>52</v>
      </c>
      <c r="C145" t="s">
        <v>48</v>
      </c>
      <c r="D145">
        <v>620</v>
      </c>
      <c r="E145" s="1">
        <v>9580</v>
      </c>
      <c r="F145" s="2">
        <v>70308</v>
      </c>
    </row>
    <row r="146" spans="1:6" x14ac:dyDescent="0.25">
      <c r="A146">
        <v>2020</v>
      </c>
      <c r="B146" t="s">
        <v>54</v>
      </c>
      <c r="C146" t="s">
        <v>1</v>
      </c>
      <c r="D146" s="1">
        <v>32424</v>
      </c>
      <c r="E146" s="1">
        <v>372620</v>
      </c>
      <c r="F146" s="2">
        <v>45853</v>
      </c>
    </row>
    <row r="147" spans="1:6" x14ac:dyDescent="0.25">
      <c r="A147">
        <v>2020</v>
      </c>
      <c r="B147" t="s">
        <v>54</v>
      </c>
      <c r="C147" t="s">
        <v>2</v>
      </c>
      <c r="D147" s="1">
        <v>33859</v>
      </c>
      <c r="E147" s="1">
        <v>546143</v>
      </c>
      <c r="F147" s="2">
        <v>51498</v>
      </c>
    </row>
    <row r="148" spans="1:6" x14ac:dyDescent="0.25">
      <c r="A148">
        <v>2020</v>
      </c>
      <c r="B148" t="s">
        <v>54</v>
      </c>
      <c r="C148" t="s">
        <v>3</v>
      </c>
      <c r="D148" s="1">
        <v>21836</v>
      </c>
      <c r="E148" s="1">
        <v>244074</v>
      </c>
      <c r="F148" s="2">
        <v>45673</v>
      </c>
    </row>
    <row r="149" spans="1:6" x14ac:dyDescent="0.25">
      <c r="A149">
        <v>2020</v>
      </c>
      <c r="B149" t="s">
        <v>54</v>
      </c>
      <c r="C149" t="s">
        <v>4</v>
      </c>
      <c r="D149" s="1">
        <v>200632</v>
      </c>
      <c r="E149" s="1">
        <v>2888684</v>
      </c>
      <c r="F149" s="2">
        <v>58800</v>
      </c>
    </row>
    <row r="150" spans="1:6" x14ac:dyDescent="0.25">
      <c r="A150">
        <v>2020</v>
      </c>
      <c r="B150" t="s">
        <v>54</v>
      </c>
      <c r="C150" t="s">
        <v>5</v>
      </c>
      <c r="D150" s="1">
        <v>36421</v>
      </c>
      <c r="E150" s="1">
        <v>465887</v>
      </c>
      <c r="F150" s="2">
        <v>55719</v>
      </c>
    </row>
    <row r="151" spans="1:6" x14ac:dyDescent="0.25">
      <c r="A151">
        <v>2020</v>
      </c>
      <c r="B151" t="s">
        <v>54</v>
      </c>
      <c r="C151" t="s">
        <v>6</v>
      </c>
      <c r="D151" s="1">
        <v>24725</v>
      </c>
      <c r="E151" s="1">
        <v>276491</v>
      </c>
      <c r="F151" s="2">
        <v>55859</v>
      </c>
    </row>
    <row r="152" spans="1:6" x14ac:dyDescent="0.25">
      <c r="A152">
        <v>2020</v>
      </c>
      <c r="B152" t="s">
        <v>54</v>
      </c>
      <c r="C152" t="s">
        <v>7</v>
      </c>
      <c r="D152" s="1">
        <v>7050</v>
      </c>
      <c r="E152" s="1">
        <v>76267</v>
      </c>
      <c r="F152" s="2">
        <v>45667</v>
      </c>
    </row>
    <row r="153" spans="1:6" x14ac:dyDescent="0.25">
      <c r="A153">
        <v>2020</v>
      </c>
      <c r="B153" t="s">
        <v>54</v>
      </c>
      <c r="C153" t="s">
        <v>8</v>
      </c>
      <c r="D153" s="1">
        <v>142700</v>
      </c>
      <c r="E153" s="1">
        <v>1739110</v>
      </c>
      <c r="F153" s="2">
        <v>49391</v>
      </c>
    </row>
    <row r="154" spans="1:6" x14ac:dyDescent="0.25">
      <c r="A154">
        <v>2020</v>
      </c>
      <c r="B154" t="s">
        <v>54</v>
      </c>
      <c r="C154" t="s">
        <v>9</v>
      </c>
      <c r="D154" s="1">
        <v>64380</v>
      </c>
      <c r="E154" s="1">
        <v>913981</v>
      </c>
      <c r="F154" s="2">
        <v>52104</v>
      </c>
    </row>
    <row r="155" spans="1:6" x14ac:dyDescent="0.25">
      <c r="A155">
        <v>2020</v>
      </c>
      <c r="B155" t="s">
        <v>54</v>
      </c>
      <c r="C155" t="s">
        <v>10</v>
      </c>
      <c r="D155" s="1">
        <v>12742</v>
      </c>
      <c r="E155" s="1">
        <v>143264</v>
      </c>
      <c r="F155" s="2">
        <v>44610</v>
      </c>
    </row>
    <row r="156" spans="1:6" x14ac:dyDescent="0.25">
      <c r="A156">
        <v>2020</v>
      </c>
      <c r="B156" t="s">
        <v>54</v>
      </c>
      <c r="C156" t="s">
        <v>11</v>
      </c>
      <c r="D156" s="1">
        <v>78196</v>
      </c>
      <c r="E156" s="1">
        <v>1140749</v>
      </c>
      <c r="F156" s="2">
        <v>55780</v>
      </c>
    </row>
    <row r="157" spans="1:6" x14ac:dyDescent="0.25">
      <c r="A157">
        <v>2020</v>
      </c>
      <c r="B157" t="s">
        <v>54</v>
      </c>
      <c r="C157" t="s">
        <v>12</v>
      </c>
      <c r="D157" s="1">
        <v>40846</v>
      </c>
      <c r="E157" s="1">
        <v>583686</v>
      </c>
      <c r="F157" s="2">
        <v>45931</v>
      </c>
    </row>
    <row r="158" spans="1:6" x14ac:dyDescent="0.25">
      <c r="A158">
        <v>2020</v>
      </c>
      <c r="B158" t="s">
        <v>54</v>
      </c>
      <c r="C158" t="s">
        <v>13</v>
      </c>
      <c r="D158" s="1">
        <v>23479</v>
      </c>
      <c r="E158" s="1">
        <v>298376</v>
      </c>
      <c r="F158" s="2">
        <v>44146</v>
      </c>
    </row>
    <row r="159" spans="1:6" x14ac:dyDescent="0.25">
      <c r="A159">
        <v>2020</v>
      </c>
      <c r="B159" t="s">
        <v>54</v>
      </c>
      <c r="C159" t="s">
        <v>14</v>
      </c>
      <c r="D159" s="1">
        <v>19497</v>
      </c>
      <c r="E159" s="1">
        <v>255575</v>
      </c>
      <c r="F159" s="2">
        <v>46012</v>
      </c>
    </row>
    <row r="160" spans="1:6" x14ac:dyDescent="0.25">
      <c r="A160">
        <v>2020</v>
      </c>
      <c r="B160" t="s">
        <v>54</v>
      </c>
      <c r="C160" t="s">
        <v>15</v>
      </c>
      <c r="D160" s="1">
        <v>28266</v>
      </c>
      <c r="E160" s="1">
        <v>393361</v>
      </c>
      <c r="F160" s="2">
        <v>46839</v>
      </c>
    </row>
    <row r="161" spans="1:6" x14ac:dyDescent="0.25">
      <c r="A161">
        <v>2020</v>
      </c>
      <c r="B161" t="s">
        <v>54</v>
      </c>
      <c r="C161" t="s">
        <v>16</v>
      </c>
      <c r="D161" s="1">
        <v>31210</v>
      </c>
      <c r="E161" s="1">
        <v>358336</v>
      </c>
      <c r="F161" s="2">
        <v>46029</v>
      </c>
    </row>
    <row r="162" spans="1:6" x14ac:dyDescent="0.25">
      <c r="A162">
        <v>2020</v>
      </c>
      <c r="B162" t="s">
        <v>54</v>
      </c>
      <c r="C162" t="s">
        <v>17</v>
      </c>
      <c r="D162" s="1">
        <v>10546</v>
      </c>
      <c r="E162" s="1">
        <v>111483</v>
      </c>
      <c r="F162" s="2">
        <v>43084</v>
      </c>
    </row>
    <row r="163" spans="1:6" x14ac:dyDescent="0.25">
      <c r="A163">
        <v>2020</v>
      </c>
      <c r="B163" t="s">
        <v>54</v>
      </c>
      <c r="C163" t="s">
        <v>18</v>
      </c>
      <c r="D163" s="1">
        <v>31685</v>
      </c>
      <c r="E163" s="1">
        <v>441680</v>
      </c>
      <c r="F163" s="2">
        <v>50800</v>
      </c>
    </row>
    <row r="164" spans="1:6" x14ac:dyDescent="0.25">
      <c r="A164">
        <v>2020</v>
      </c>
      <c r="B164" t="s">
        <v>54</v>
      </c>
      <c r="C164" t="s">
        <v>19</v>
      </c>
      <c r="D164" s="1">
        <v>40751</v>
      </c>
      <c r="E164" s="1">
        <v>526726</v>
      </c>
      <c r="F164" s="2">
        <v>61082</v>
      </c>
    </row>
    <row r="165" spans="1:6" x14ac:dyDescent="0.25">
      <c r="A165">
        <v>2020</v>
      </c>
      <c r="B165" t="s">
        <v>54</v>
      </c>
      <c r="C165" t="s">
        <v>20</v>
      </c>
      <c r="D165" s="1">
        <v>55149</v>
      </c>
      <c r="E165" s="1">
        <v>745824</v>
      </c>
      <c r="F165" s="2">
        <v>51869</v>
      </c>
    </row>
    <row r="166" spans="1:6" x14ac:dyDescent="0.25">
      <c r="A166">
        <v>2020</v>
      </c>
      <c r="B166" t="s">
        <v>54</v>
      </c>
      <c r="C166" t="s">
        <v>21</v>
      </c>
      <c r="D166" s="1">
        <v>37255</v>
      </c>
      <c r="E166" s="1">
        <v>499190</v>
      </c>
      <c r="F166" s="2">
        <v>53843</v>
      </c>
    </row>
    <row r="167" spans="1:6" x14ac:dyDescent="0.25">
      <c r="A167">
        <v>2020</v>
      </c>
      <c r="B167" t="s">
        <v>54</v>
      </c>
      <c r="C167" t="s">
        <v>22</v>
      </c>
      <c r="D167" s="1">
        <v>19589</v>
      </c>
      <c r="E167" s="1">
        <v>226629</v>
      </c>
      <c r="F167" s="2">
        <v>40176</v>
      </c>
    </row>
    <row r="168" spans="1:6" x14ac:dyDescent="0.25">
      <c r="A168">
        <v>2020</v>
      </c>
      <c r="B168" t="s">
        <v>54</v>
      </c>
      <c r="C168" t="s">
        <v>23</v>
      </c>
      <c r="D168" s="1">
        <v>39646</v>
      </c>
      <c r="E168" s="1">
        <v>519916</v>
      </c>
      <c r="F168" s="2">
        <v>46520</v>
      </c>
    </row>
    <row r="169" spans="1:6" x14ac:dyDescent="0.25">
      <c r="A169">
        <v>2020</v>
      </c>
      <c r="B169" t="s">
        <v>54</v>
      </c>
      <c r="C169" t="s">
        <v>24</v>
      </c>
      <c r="D169" s="1">
        <v>9323</v>
      </c>
      <c r="E169" s="1">
        <v>89315</v>
      </c>
      <c r="F169" s="2">
        <v>43996</v>
      </c>
    </row>
    <row r="170" spans="1:6" x14ac:dyDescent="0.25">
      <c r="A170">
        <v>2020</v>
      </c>
      <c r="B170" t="s">
        <v>54</v>
      </c>
      <c r="C170" t="s">
        <v>25</v>
      </c>
      <c r="D170" s="1">
        <v>14748</v>
      </c>
      <c r="E170" s="1">
        <v>182745</v>
      </c>
      <c r="F170" s="2">
        <v>44095</v>
      </c>
    </row>
    <row r="171" spans="1:6" x14ac:dyDescent="0.25">
      <c r="A171">
        <v>2020</v>
      </c>
      <c r="B171" t="s">
        <v>54</v>
      </c>
      <c r="C171" t="s">
        <v>26</v>
      </c>
      <c r="D171" s="1">
        <v>15481</v>
      </c>
      <c r="E171" s="1">
        <v>252623</v>
      </c>
      <c r="F171" s="2">
        <v>48334</v>
      </c>
    </row>
    <row r="172" spans="1:6" x14ac:dyDescent="0.25">
      <c r="A172">
        <v>2020</v>
      </c>
      <c r="B172" t="s">
        <v>54</v>
      </c>
      <c r="C172" t="s">
        <v>27</v>
      </c>
      <c r="D172" s="1">
        <v>12460</v>
      </c>
      <c r="E172" s="1">
        <v>133196</v>
      </c>
      <c r="F172" s="2">
        <v>54425</v>
      </c>
    </row>
    <row r="173" spans="1:6" x14ac:dyDescent="0.25">
      <c r="A173">
        <v>2020</v>
      </c>
      <c r="B173" t="s">
        <v>54</v>
      </c>
      <c r="C173" t="s">
        <v>28</v>
      </c>
      <c r="D173" s="1">
        <v>54606</v>
      </c>
      <c r="E173" s="1">
        <v>820259</v>
      </c>
      <c r="F173" s="2">
        <v>58675</v>
      </c>
    </row>
    <row r="174" spans="1:6" x14ac:dyDescent="0.25">
      <c r="A174">
        <v>2020</v>
      </c>
      <c r="B174" t="s">
        <v>54</v>
      </c>
      <c r="C174" t="s">
        <v>29</v>
      </c>
      <c r="D174" s="1">
        <v>10949</v>
      </c>
      <c r="E174" s="1">
        <v>130261</v>
      </c>
      <c r="F174" s="2">
        <v>41086</v>
      </c>
    </row>
    <row r="175" spans="1:6" x14ac:dyDescent="0.25">
      <c r="A175">
        <v>2020</v>
      </c>
      <c r="B175" t="s">
        <v>54</v>
      </c>
      <c r="C175" t="s">
        <v>30</v>
      </c>
      <c r="D175" s="1">
        <v>118946</v>
      </c>
      <c r="E175" s="1">
        <v>1366746</v>
      </c>
      <c r="F175" s="2">
        <v>57939</v>
      </c>
    </row>
    <row r="176" spans="1:6" x14ac:dyDescent="0.25">
      <c r="A176">
        <v>2020</v>
      </c>
      <c r="B176" t="s">
        <v>54</v>
      </c>
      <c r="C176" t="s">
        <v>31</v>
      </c>
      <c r="D176" s="1">
        <v>63455</v>
      </c>
      <c r="E176" s="1">
        <v>844765</v>
      </c>
      <c r="F176" s="2">
        <v>47171</v>
      </c>
    </row>
    <row r="177" spans="1:6" x14ac:dyDescent="0.25">
      <c r="A177">
        <v>2020</v>
      </c>
      <c r="B177" t="s">
        <v>54</v>
      </c>
      <c r="C177" t="s">
        <v>32</v>
      </c>
      <c r="D177" s="1">
        <v>7745</v>
      </c>
      <c r="E177" s="1">
        <v>86570</v>
      </c>
      <c r="F177" s="2">
        <v>52657</v>
      </c>
    </row>
    <row r="178" spans="1:6" x14ac:dyDescent="0.25">
      <c r="A178">
        <v>2020</v>
      </c>
      <c r="B178" t="s">
        <v>54</v>
      </c>
      <c r="C178" t="s">
        <v>33</v>
      </c>
      <c r="D178" s="1">
        <v>68987</v>
      </c>
      <c r="E178" s="1">
        <v>998325</v>
      </c>
      <c r="F178" s="2">
        <v>48088</v>
      </c>
    </row>
    <row r="179" spans="1:6" x14ac:dyDescent="0.25">
      <c r="A179">
        <v>2020</v>
      </c>
      <c r="B179" t="s">
        <v>54</v>
      </c>
      <c r="C179" t="s">
        <v>34</v>
      </c>
      <c r="D179" s="1">
        <v>23912</v>
      </c>
      <c r="E179" s="1">
        <v>301828</v>
      </c>
      <c r="F179" s="2">
        <v>43388</v>
      </c>
    </row>
    <row r="180" spans="1:6" x14ac:dyDescent="0.25">
      <c r="A180">
        <v>2020</v>
      </c>
      <c r="B180" t="s">
        <v>54</v>
      </c>
      <c r="C180" t="s">
        <v>35</v>
      </c>
      <c r="D180" s="1">
        <v>26241</v>
      </c>
      <c r="E180" s="1">
        <v>346783</v>
      </c>
      <c r="F180" s="2">
        <v>49251</v>
      </c>
    </row>
    <row r="181" spans="1:6" x14ac:dyDescent="0.25">
      <c r="A181">
        <v>2020</v>
      </c>
      <c r="B181" t="s">
        <v>54</v>
      </c>
      <c r="C181" t="s">
        <v>36</v>
      </c>
      <c r="D181" s="1">
        <v>73985</v>
      </c>
      <c r="E181" s="1">
        <v>1054388</v>
      </c>
      <c r="F181" s="2">
        <v>49535</v>
      </c>
    </row>
    <row r="182" spans="1:6" x14ac:dyDescent="0.25">
      <c r="A182">
        <v>2020</v>
      </c>
      <c r="B182" t="s">
        <v>54</v>
      </c>
      <c r="C182" t="s">
        <v>37</v>
      </c>
      <c r="D182" s="1">
        <v>7816</v>
      </c>
      <c r="E182" s="1">
        <v>70764</v>
      </c>
      <c r="F182" s="2">
        <v>49493</v>
      </c>
    </row>
    <row r="183" spans="1:6" x14ac:dyDescent="0.25">
      <c r="A183">
        <v>2020</v>
      </c>
      <c r="B183" t="s">
        <v>54</v>
      </c>
      <c r="C183" t="s">
        <v>38</v>
      </c>
      <c r="D183" s="1">
        <v>31674</v>
      </c>
      <c r="E183" s="1">
        <v>400537</v>
      </c>
      <c r="F183" s="2">
        <v>43717</v>
      </c>
    </row>
    <row r="184" spans="1:6" x14ac:dyDescent="0.25">
      <c r="A184">
        <v>2020</v>
      </c>
      <c r="B184" t="s">
        <v>54</v>
      </c>
      <c r="C184" t="s">
        <v>39</v>
      </c>
      <c r="D184" s="1">
        <v>8068</v>
      </c>
      <c r="E184" s="1">
        <v>83179</v>
      </c>
      <c r="F184" s="2">
        <v>44162</v>
      </c>
    </row>
    <row r="185" spans="1:6" x14ac:dyDescent="0.25">
      <c r="A185">
        <v>2020</v>
      </c>
      <c r="B185" t="s">
        <v>54</v>
      </c>
      <c r="C185" t="s">
        <v>40</v>
      </c>
      <c r="D185" s="1">
        <v>40806</v>
      </c>
      <c r="E185" s="1">
        <v>627005</v>
      </c>
      <c r="F185" s="2">
        <v>50111</v>
      </c>
    </row>
    <row r="186" spans="1:6" x14ac:dyDescent="0.25">
      <c r="A186">
        <v>2020</v>
      </c>
      <c r="B186" t="s">
        <v>54</v>
      </c>
      <c r="C186" t="s">
        <v>41</v>
      </c>
      <c r="D186" s="1">
        <v>152438</v>
      </c>
      <c r="E186" s="1">
        <v>2453267</v>
      </c>
      <c r="F186" s="2">
        <v>56485</v>
      </c>
    </row>
    <row r="187" spans="1:6" x14ac:dyDescent="0.25">
      <c r="A187">
        <v>2020</v>
      </c>
      <c r="B187" t="s">
        <v>54</v>
      </c>
      <c r="C187" t="s">
        <v>42</v>
      </c>
      <c r="D187" s="1">
        <v>20535</v>
      </c>
      <c r="E187" s="1">
        <v>288623</v>
      </c>
      <c r="F187" s="2">
        <v>49353</v>
      </c>
    </row>
    <row r="188" spans="1:6" x14ac:dyDescent="0.25">
      <c r="A188">
        <v>2020</v>
      </c>
      <c r="B188" t="s">
        <v>54</v>
      </c>
      <c r="C188" t="s">
        <v>43</v>
      </c>
      <c r="D188" s="1">
        <v>5003</v>
      </c>
      <c r="E188" s="1">
        <v>49851</v>
      </c>
      <c r="F188" s="2">
        <v>45701</v>
      </c>
    </row>
    <row r="189" spans="1:6" x14ac:dyDescent="0.25">
      <c r="A189">
        <v>2020</v>
      </c>
      <c r="B189" t="s">
        <v>54</v>
      </c>
      <c r="C189" t="s">
        <v>44</v>
      </c>
      <c r="D189" s="1">
        <v>42564</v>
      </c>
      <c r="E189" s="1">
        <v>627729</v>
      </c>
      <c r="F189" s="2">
        <v>48371</v>
      </c>
    </row>
    <row r="190" spans="1:6" x14ac:dyDescent="0.25">
      <c r="A190">
        <v>2020</v>
      </c>
      <c r="B190" t="s">
        <v>54</v>
      </c>
      <c r="C190" t="s">
        <v>45</v>
      </c>
      <c r="D190" s="1">
        <v>38688</v>
      </c>
      <c r="E190" s="1">
        <v>615415</v>
      </c>
      <c r="F190" s="2">
        <v>74160</v>
      </c>
    </row>
    <row r="191" spans="1:6" x14ac:dyDescent="0.25">
      <c r="A191">
        <v>2020</v>
      </c>
      <c r="B191" t="s">
        <v>54</v>
      </c>
      <c r="C191" t="s">
        <v>46</v>
      </c>
      <c r="D191" s="1">
        <v>10611</v>
      </c>
      <c r="E191" s="1">
        <v>118677</v>
      </c>
      <c r="F191" s="2">
        <v>42085</v>
      </c>
    </row>
    <row r="192" spans="1:6" x14ac:dyDescent="0.25">
      <c r="A192">
        <v>2020</v>
      </c>
      <c r="B192" t="s">
        <v>54</v>
      </c>
      <c r="C192" t="s">
        <v>47</v>
      </c>
      <c r="D192" s="1">
        <v>35812</v>
      </c>
      <c r="E192" s="1">
        <v>517930</v>
      </c>
      <c r="F192" s="2">
        <v>45165</v>
      </c>
    </row>
    <row r="193" spans="1:6" x14ac:dyDescent="0.25">
      <c r="A193">
        <v>2020</v>
      </c>
      <c r="B193" t="s">
        <v>54</v>
      </c>
      <c r="C193" t="s">
        <v>48</v>
      </c>
      <c r="D193" s="1">
        <v>4840</v>
      </c>
      <c r="E193" s="1">
        <v>48509</v>
      </c>
      <c r="F193" s="2">
        <v>44879</v>
      </c>
    </row>
    <row r="194" spans="1:6" x14ac:dyDescent="0.25">
      <c r="A194">
        <v>2020</v>
      </c>
      <c r="B194" t="s">
        <v>53</v>
      </c>
      <c r="C194" t="s">
        <v>1</v>
      </c>
      <c r="D194" s="1">
        <v>2566</v>
      </c>
      <c r="E194" s="1">
        <v>19310</v>
      </c>
      <c r="F194" s="2">
        <v>69393</v>
      </c>
    </row>
    <row r="195" spans="1:6" x14ac:dyDescent="0.25">
      <c r="A195">
        <v>2020</v>
      </c>
      <c r="B195" t="s">
        <v>53</v>
      </c>
      <c r="C195" t="s">
        <v>2</v>
      </c>
      <c r="D195" s="1">
        <v>4017</v>
      </c>
      <c r="E195" s="1">
        <v>45513</v>
      </c>
      <c r="F195" s="2">
        <v>90871</v>
      </c>
    </row>
    <row r="196" spans="1:6" x14ac:dyDescent="0.25">
      <c r="A196">
        <v>2020</v>
      </c>
      <c r="B196" t="s">
        <v>53</v>
      </c>
      <c r="C196" t="s">
        <v>3</v>
      </c>
      <c r="D196" s="1">
        <v>1536</v>
      </c>
      <c r="E196" s="1">
        <v>11509</v>
      </c>
      <c r="F196" s="2">
        <v>69820</v>
      </c>
    </row>
    <row r="197" spans="1:6" x14ac:dyDescent="0.25">
      <c r="A197">
        <v>2020</v>
      </c>
      <c r="B197" t="s">
        <v>53</v>
      </c>
      <c r="C197" t="s">
        <v>4</v>
      </c>
      <c r="D197" s="1">
        <v>29491</v>
      </c>
      <c r="E197" s="1">
        <v>527549</v>
      </c>
      <c r="F197" s="2">
        <v>217892</v>
      </c>
    </row>
    <row r="198" spans="1:6" x14ac:dyDescent="0.25">
      <c r="A198">
        <v>2020</v>
      </c>
      <c r="B198" t="s">
        <v>53</v>
      </c>
      <c r="C198" t="s">
        <v>5</v>
      </c>
      <c r="D198" s="1">
        <v>4548</v>
      </c>
      <c r="E198" s="1">
        <v>74867</v>
      </c>
      <c r="F198" s="2">
        <v>123495</v>
      </c>
    </row>
    <row r="199" spans="1:6" x14ac:dyDescent="0.25">
      <c r="A199">
        <v>2020</v>
      </c>
      <c r="B199" t="s">
        <v>53</v>
      </c>
      <c r="C199" t="s">
        <v>6</v>
      </c>
      <c r="D199" s="1">
        <v>2880</v>
      </c>
      <c r="E199" s="1">
        <v>29237</v>
      </c>
      <c r="F199" s="2">
        <v>138917</v>
      </c>
    </row>
    <row r="200" spans="1:6" x14ac:dyDescent="0.25">
      <c r="A200">
        <v>2020</v>
      </c>
      <c r="B200" t="s">
        <v>53</v>
      </c>
      <c r="C200" t="s">
        <v>7</v>
      </c>
      <c r="D200">
        <v>549</v>
      </c>
      <c r="E200" s="1">
        <v>3622</v>
      </c>
      <c r="F200" s="2">
        <v>78966</v>
      </c>
    </row>
    <row r="201" spans="1:6" x14ac:dyDescent="0.25">
      <c r="A201">
        <v>2020</v>
      </c>
      <c r="B201" t="s">
        <v>53</v>
      </c>
      <c r="C201" t="s">
        <v>8</v>
      </c>
      <c r="D201" s="1">
        <v>12659</v>
      </c>
      <c r="E201" s="1">
        <v>130298</v>
      </c>
      <c r="F201" s="2">
        <v>93350</v>
      </c>
    </row>
    <row r="202" spans="1:6" x14ac:dyDescent="0.25">
      <c r="A202">
        <v>2020</v>
      </c>
      <c r="B202" t="s">
        <v>53</v>
      </c>
      <c r="C202" t="s">
        <v>9</v>
      </c>
      <c r="D202" s="1">
        <v>6010</v>
      </c>
      <c r="E202" s="1">
        <v>109190</v>
      </c>
      <c r="F202" s="2">
        <v>108735</v>
      </c>
    </row>
    <row r="203" spans="1:6" x14ac:dyDescent="0.25">
      <c r="A203">
        <v>2020</v>
      </c>
      <c r="B203" t="s">
        <v>53</v>
      </c>
      <c r="C203" t="s">
        <v>10</v>
      </c>
      <c r="D203" s="1">
        <v>1385</v>
      </c>
      <c r="E203" s="1">
        <v>7346</v>
      </c>
      <c r="F203" s="2">
        <v>64408</v>
      </c>
    </row>
    <row r="204" spans="1:6" x14ac:dyDescent="0.25">
      <c r="A204">
        <v>2020</v>
      </c>
      <c r="B204" t="s">
        <v>53</v>
      </c>
      <c r="C204" t="s">
        <v>11</v>
      </c>
      <c r="D204" s="1">
        <v>7162</v>
      </c>
      <c r="E204" s="1">
        <v>87520</v>
      </c>
      <c r="F204" s="2">
        <v>110059</v>
      </c>
    </row>
    <row r="205" spans="1:6" x14ac:dyDescent="0.25">
      <c r="A205">
        <v>2020</v>
      </c>
      <c r="B205" t="s">
        <v>53</v>
      </c>
      <c r="C205" t="s">
        <v>12</v>
      </c>
      <c r="D205" s="1">
        <v>2521</v>
      </c>
      <c r="E205" s="1">
        <v>26075</v>
      </c>
      <c r="F205" s="2">
        <v>67191</v>
      </c>
    </row>
    <row r="206" spans="1:6" x14ac:dyDescent="0.25">
      <c r="A206">
        <v>2020</v>
      </c>
      <c r="B206" t="s">
        <v>53</v>
      </c>
      <c r="C206" t="s">
        <v>13</v>
      </c>
      <c r="D206" s="1">
        <v>1811</v>
      </c>
      <c r="E206" s="1">
        <v>19135</v>
      </c>
      <c r="F206" s="2">
        <v>66858</v>
      </c>
    </row>
    <row r="207" spans="1:6" x14ac:dyDescent="0.25">
      <c r="A207">
        <v>2020</v>
      </c>
      <c r="B207" t="s">
        <v>53</v>
      </c>
      <c r="C207" t="s">
        <v>14</v>
      </c>
      <c r="D207" s="1">
        <v>1561</v>
      </c>
      <c r="E207" s="1">
        <v>16734</v>
      </c>
      <c r="F207" s="2">
        <v>73749</v>
      </c>
    </row>
    <row r="208" spans="1:6" x14ac:dyDescent="0.25">
      <c r="A208">
        <v>2020</v>
      </c>
      <c r="B208" t="s">
        <v>53</v>
      </c>
      <c r="C208" t="s">
        <v>15</v>
      </c>
      <c r="D208" s="1">
        <v>2111</v>
      </c>
      <c r="E208" s="1">
        <v>20268</v>
      </c>
      <c r="F208" s="2">
        <v>63462</v>
      </c>
    </row>
    <row r="209" spans="1:6" x14ac:dyDescent="0.25">
      <c r="A209">
        <v>2020</v>
      </c>
      <c r="B209" t="s">
        <v>53</v>
      </c>
      <c r="C209" t="s">
        <v>16</v>
      </c>
      <c r="D209" s="1">
        <v>1935</v>
      </c>
      <c r="E209" s="1">
        <v>18712</v>
      </c>
      <c r="F209" s="2">
        <v>65700</v>
      </c>
    </row>
    <row r="210" spans="1:6" x14ac:dyDescent="0.25">
      <c r="A210">
        <v>2020</v>
      </c>
      <c r="B210" t="s">
        <v>53</v>
      </c>
      <c r="C210" t="s">
        <v>17</v>
      </c>
      <c r="D210">
        <v>916</v>
      </c>
      <c r="E210" s="1">
        <v>6415</v>
      </c>
      <c r="F210" s="2">
        <v>64265</v>
      </c>
    </row>
    <row r="211" spans="1:6" x14ac:dyDescent="0.25">
      <c r="A211">
        <v>2020</v>
      </c>
      <c r="B211" t="s">
        <v>53</v>
      </c>
      <c r="C211" t="s">
        <v>18</v>
      </c>
      <c r="D211" s="1">
        <v>2855</v>
      </c>
      <c r="E211" s="1">
        <v>33029</v>
      </c>
      <c r="F211" s="2">
        <v>110569</v>
      </c>
    </row>
    <row r="212" spans="1:6" x14ac:dyDescent="0.25">
      <c r="A212">
        <v>2020</v>
      </c>
      <c r="B212" t="s">
        <v>53</v>
      </c>
      <c r="C212" t="s">
        <v>19</v>
      </c>
      <c r="D212" s="1">
        <v>6073</v>
      </c>
      <c r="E212" s="1">
        <v>89231</v>
      </c>
      <c r="F212" s="2">
        <v>146746</v>
      </c>
    </row>
    <row r="213" spans="1:6" x14ac:dyDescent="0.25">
      <c r="A213">
        <v>2020</v>
      </c>
      <c r="B213" t="s">
        <v>53</v>
      </c>
      <c r="C213" t="s">
        <v>20</v>
      </c>
      <c r="D213" s="1">
        <v>7671</v>
      </c>
      <c r="E213" s="1">
        <v>50511</v>
      </c>
      <c r="F213" s="2">
        <v>88745</v>
      </c>
    </row>
    <row r="214" spans="1:6" x14ac:dyDescent="0.25">
      <c r="A214">
        <v>2020</v>
      </c>
      <c r="B214" t="s">
        <v>53</v>
      </c>
      <c r="C214" t="s">
        <v>21</v>
      </c>
      <c r="D214" s="1">
        <v>4304</v>
      </c>
      <c r="E214" s="1">
        <v>43145</v>
      </c>
      <c r="F214" s="2">
        <v>92292</v>
      </c>
    </row>
    <row r="215" spans="1:6" x14ac:dyDescent="0.25">
      <c r="A215">
        <v>2020</v>
      </c>
      <c r="B215" t="s">
        <v>53</v>
      </c>
      <c r="C215" t="s">
        <v>22</v>
      </c>
      <c r="D215">
        <v>964</v>
      </c>
      <c r="E215" s="1">
        <v>9629</v>
      </c>
      <c r="F215" s="2">
        <v>54301</v>
      </c>
    </row>
    <row r="216" spans="1:6" x14ac:dyDescent="0.25">
      <c r="A216">
        <v>2020</v>
      </c>
      <c r="B216" t="s">
        <v>53</v>
      </c>
      <c r="C216" t="s">
        <v>23</v>
      </c>
      <c r="D216" s="1">
        <v>3562</v>
      </c>
      <c r="E216" s="1">
        <v>43675</v>
      </c>
      <c r="F216" s="2">
        <v>89327</v>
      </c>
    </row>
    <row r="217" spans="1:6" x14ac:dyDescent="0.25">
      <c r="A217">
        <v>2020</v>
      </c>
      <c r="B217" t="s">
        <v>53</v>
      </c>
      <c r="C217" t="s">
        <v>24</v>
      </c>
      <c r="D217">
        <v>856</v>
      </c>
      <c r="E217" s="1">
        <v>5797</v>
      </c>
      <c r="F217" s="2">
        <v>65673</v>
      </c>
    </row>
    <row r="218" spans="1:6" x14ac:dyDescent="0.25">
      <c r="A218">
        <v>2020</v>
      </c>
      <c r="B218" t="s">
        <v>53</v>
      </c>
      <c r="C218" t="s">
        <v>25</v>
      </c>
      <c r="D218" s="1">
        <v>1071</v>
      </c>
      <c r="E218" s="1">
        <v>16165</v>
      </c>
      <c r="F218" s="2">
        <v>76361</v>
      </c>
    </row>
    <row r="219" spans="1:6" x14ac:dyDescent="0.25">
      <c r="A219">
        <v>2020</v>
      </c>
      <c r="B219" t="s">
        <v>53</v>
      </c>
      <c r="C219" t="s">
        <v>26</v>
      </c>
      <c r="D219" s="1">
        <v>1609</v>
      </c>
      <c r="E219" s="1">
        <v>13306</v>
      </c>
      <c r="F219" s="2">
        <v>88353</v>
      </c>
    </row>
    <row r="220" spans="1:6" x14ac:dyDescent="0.25">
      <c r="A220">
        <v>2020</v>
      </c>
      <c r="B220" t="s">
        <v>53</v>
      </c>
      <c r="C220" t="s">
        <v>27</v>
      </c>
      <c r="D220" s="1">
        <v>1168</v>
      </c>
      <c r="E220" s="1">
        <v>11735</v>
      </c>
      <c r="F220" s="2">
        <v>107194</v>
      </c>
    </row>
    <row r="221" spans="1:6" x14ac:dyDescent="0.25">
      <c r="A221">
        <v>2020</v>
      </c>
      <c r="B221" t="s">
        <v>53</v>
      </c>
      <c r="C221" t="s">
        <v>28</v>
      </c>
      <c r="D221" s="1">
        <v>3965</v>
      </c>
      <c r="E221" s="1">
        <v>67885</v>
      </c>
      <c r="F221" s="2">
        <v>130541</v>
      </c>
    </row>
    <row r="222" spans="1:6" x14ac:dyDescent="0.25">
      <c r="A222">
        <v>2020</v>
      </c>
      <c r="B222" t="s">
        <v>53</v>
      </c>
      <c r="C222" t="s">
        <v>29</v>
      </c>
      <c r="D222" s="1">
        <v>1108</v>
      </c>
      <c r="E222" s="1">
        <v>9076</v>
      </c>
      <c r="F222" s="2">
        <v>62393</v>
      </c>
    </row>
    <row r="223" spans="1:6" x14ac:dyDescent="0.25">
      <c r="A223">
        <v>2020</v>
      </c>
      <c r="B223" t="s">
        <v>53</v>
      </c>
      <c r="C223" t="s">
        <v>30</v>
      </c>
      <c r="D223" s="1">
        <v>14380</v>
      </c>
      <c r="E223" s="1">
        <v>267749</v>
      </c>
      <c r="F223" s="2">
        <v>154357</v>
      </c>
    </row>
    <row r="224" spans="1:6" x14ac:dyDescent="0.25">
      <c r="A224">
        <v>2020</v>
      </c>
      <c r="B224" t="s">
        <v>53</v>
      </c>
      <c r="C224" t="s">
        <v>31</v>
      </c>
      <c r="D224" s="1">
        <v>6302</v>
      </c>
      <c r="E224" s="1">
        <v>73440</v>
      </c>
      <c r="F224" s="2">
        <v>96207</v>
      </c>
    </row>
    <row r="225" spans="1:6" x14ac:dyDescent="0.25">
      <c r="A225">
        <v>2020</v>
      </c>
      <c r="B225" t="s">
        <v>53</v>
      </c>
      <c r="C225" t="s">
        <v>32</v>
      </c>
      <c r="D225">
        <v>417</v>
      </c>
      <c r="E225" s="1">
        <v>5780</v>
      </c>
      <c r="F225" s="2">
        <v>79624</v>
      </c>
    </row>
    <row r="226" spans="1:6" x14ac:dyDescent="0.25">
      <c r="A226">
        <v>2020</v>
      </c>
      <c r="B226" t="s">
        <v>53</v>
      </c>
      <c r="C226" t="s">
        <v>33</v>
      </c>
      <c r="D226" s="1">
        <v>5303</v>
      </c>
      <c r="E226" s="1">
        <v>63865</v>
      </c>
      <c r="F226" s="2">
        <v>80052</v>
      </c>
    </row>
    <row r="227" spans="1:6" x14ac:dyDescent="0.25">
      <c r="A227">
        <v>2020</v>
      </c>
      <c r="B227" t="s">
        <v>53</v>
      </c>
      <c r="C227" t="s">
        <v>34</v>
      </c>
      <c r="D227" s="1">
        <v>1572</v>
      </c>
      <c r="E227" s="1">
        <v>18256</v>
      </c>
      <c r="F227" s="2">
        <v>63710</v>
      </c>
    </row>
    <row r="228" spans="1:6" x14ac:dyDescent="0.25">
      <c r="A228">
        <v>2020</v>
      </c>
      <c r="B228" t="s">
        <v>53</v>
      </c>
      <c r="C228" t="s">
        <v>35</v>
      </c>
      <c r="D228" s="1">
        <v>4605</v>
      </c>
      <c r="E228" s="1">
        <v>33218</v>
      </c>
      <c r="F228" s="2">
        <v>101737</v>
      </c>
    </row>
    <row r="229" spans="1:6" x14ac:dyDescent="0.25">
      <c r="A229">
        <v>2020</v>
      </c>
      <c r="B229" t="s">
        <v>53</v>
      </c>
      <c r="C229" t="s">
        <v>36</v>
      </c>
      <c r="D229" s="1">
        <v>5891</v>
      </c>
      <c r="E229" s="1">
        <v>82872</v>
      </c>
      <c r="F229" s="2">
        <v>107388</v>
      </c>
    </row>
    <row r="230" spans="1:6" x14ac:dyDescent="0.25">
      <c r="A230">
        <v>2020</v>
      </c>
      <c r="B230" t="s">
        <v>53</v>
      </c>
      <c r="C230" t="s">
        <v>37</v>
      </c>
      <c r="D230">
        <v>762</v>
      </c>
      <c r="E230" s="1">
        <v>5243</v>
      </c>
      <c r="F230" s="2">
        <v>87286</v>
      </c>
    </row>
    <row r="231" spans="1:6" x14ac:dyDescent="0.25">
      <c r="A231">
        <v>2020</v>
      </c>
      <c r="B231" t="s">
        <v>53</v>
      </c>
      <c r="C231" t="s">
        <v>38</v>
      </c>
      <c r="D231" s="1">
        <v>3216</v>
      </c>
      <c r="E231" s="1">
        <v>24744</v>
      </c>
      <c r="F231" s="2">
        <v>73562</v>
      </c>
    </row>
    <row r="232" spans="1:6" x14ac:dyDescent="0.25">
      <c r="A232">
        <v>2020</v>
      </c>
      <c r="B232" t="s">
        <v>53</v>
      </c>
      <c r="C232" t="s">
        <v>39</v>
      </c>
      <c r="D232">
        <v>606</v>
      </c>
      <c r="E232" s="1">
        <v>5074</v>
      </c>
      <c r="F232" s="2">
        <v>58069</v>
      </c>
    </row>
    <row r="233" spans="1:6" x14ac:dyDescent="0.25">
      <c r="A233">
        <v>2020</v>
      </c>
      <c r="B233" t="s">
        <v>53</v>
      </c>
      <c r="C233" t="s">
        <v>40</v>
      </c>
      <c r="D233" s="1">
        <v>4525</v>
      </c>
      <c r="E233" s="1">
        <v>42929</v>
      </c>
      <c r="F233" s="2">
        <v>81293</v>
      </c>
    </row>
    <row r="234" spans="1:6" x14ac:dyDescent="0.25">
      <c r="A234">
        <v>2020</v>
      </c>
      <c r="B234" t="s">
        <v>53</v>
      </c>
      <c r="C234" t="s">
        <v>41</v>
      </c>
      <c r="D234" s="1">
        <v>11822</v>
      </c>
      <c r="E234" s="1">
        <v>198521</v>
      </c>
      <c r="F234" s="2">
        <v>102835</v>
      </c>
    </row>
    <row r="235" spans="1:6" x14ac:dyDescent="0.25">
      <c r="A235">
        <v>2020</v>
      </c>
      <c r="B235" t="s">
        <v>53</v>
      </c>
      <c r="C235" t="s">
        <v>42</v>
      </c>
      <c r="D235" s="1">
        <v>3177</v>
      </c>
      <c r="E235" s="1">
        <v>37222</v>
      </c>
      <c r="F235" s="2">
        <v>96974</v>
      </c>
    </row>
    <row r="236" spans="1:6" x14ac:dyDescent="0.25">
      <c r="A236">
        <v>2020</v>
      </c>
      <c r="B236" t="s">
        <v>53</v>
      </c>
      <c r="C236" t="s">
        <v>43</v>
      </c>
      <c r="D236">
        <v>584</v>
      </c>
      <c r="E236" s="1">
        <v>3961</v>
      </c>
      <c r="F236" s="2">
        <v>68605</v>
      </c>
    </row>
    <row r="237" spans="1:6" x14ac:dyDescent="0.25">
      <c r="A237">
        <v>2020</v>
      </c>
      <c r="B237" t="s">
        <v>53</v>
      </c>
      <c r="C237" t="s">
        <v>44</v>
      </c>
      <c r="D237" s="1">
        <v>4875</v>
      </c>
      <c r="E237" s="1">
        <v>64840</v>
      </c>
      <c r="F237" s="2">
        <v>117848</v>
      </c>
    </row>
    <row r="238" spans="1:6" x14ac:dyDescent="0.25">
      <c r="A238">
        <v>2020</v>
      </c>
      <c r="B238" t="s">
        <v>53</v>
      </c>
      <c r="C238" t="s">
        <v>45</v>
      </c>
      <c r="D238" s="1">
        <v>5419</v>
      </c>
      <c r="E238" s="1">
        <v>148556</v>
      </c>
      <c r="F238" s="2">
        <v>242273</v>
      </c>
    </row>
    <row r="239" spans="1:6" x14ac:dyDescent="0.25">
      <c r="A239">
        <v>2020</v>
      </c>
      <c r="B239" t="s">
        <v>53</v>
      </c>
      <c r="C239" t="s">
        <v>46</v>
      </c>
      <c r="D239">
        <v>825</v>
      </c>
      <c r="E239" s="1">
        <v>7215</v>
      </c>
      <c r="F239" s="2">
        <v>58063</v>
      </c>
    </row>
    <row r="240" spans="1:6" x14ac:dyDescent="0.25">
      <c r="A240">
        <v>2020</v>
      </c>
      <c r="B240" t="s">
        <v>53</v>
      </c>
      <c r="C240" t="s">
        <v>47</v>
      </c>
      <c r="D240" s="1">
        <v>2400</v>
      </c>
      <c r="E240" s="1">
        <v>44846</v>
      </c>
      <c r="F240" s="2">
        <v>88336</v>
      </c>
    </row>
    <row r="241" spans="1:6" x14ac:dyDescent="0.25">
      <c r="A241">
        <v>2020</v>
      </c>
      <c r="B241" t="s">
        <v>53</v>
      </c>
      <c r="C241" t="s">
        <v>48</v>
      </c>
      <c r="D241">
        <v>428</v>
      </c>
      <c r="E241" s="1">
        <v>3000</v>
      </c>
      <c r="F241" s="2">
        <v>54299</v>
      </c>
    </row>
    <row r="242" spans="1:6" x14ac:dyDescent="0.25">
      <c r="A242">
        <v>2020</v>
      </c>
      <c r="B242" t="s">
        <v>56</v>
      </c>
      <c r="C242" t="s">
        <v>1</v>
      </c>
      <c r="D242" s="1">
        <v>13880</v>
      </c>
      <c r="E242" s="1">
        <v>94715</v>
      </c>
      <c r="F242" s="2">
        <v>75982</v>
      </c>
    </row>
    <row r="243" spans="1:6" x14ac:dyDescent="0.25">
      <c r="A243">
        <v>2020</v>
      </c>
      <c r="B243" t="s">
        <v>56</v>
      </c>
      <c r="C243" t="s">
        <v>2</v>
      </c>
      <c r="D243" s="1">
        <v>20707</v>
      </c>
      <c r="E243" s="1">
        <v>225922</v>
      </c>
      <c r="F243" s="2">
        <v>82956</v>
      </c>
    </row>
    <row r="244" spans="1:6" x14ac:dyDescent="0.25">
      <c r="A244">
        <v>2020</v>
      </c>
      <c r="B244" t="s">
        <v>56</v>
      </c>
      <c r="C244" t="s">
        <v>3</v>
      </c>
      <c r="D244" s="1">
        <v>8906</v>
      </c>
      <c r="E244" s="1">
        <v>51950</v>
      </c>
      <c r="F244" s="2">
        <v>65321</v>
      </c>
    </row>
    <row r="245" spans="1:6" x14ac:dyDescent="0.25">
      <c r="A245">
        <v>2020</v>
      </c>
      <c r="B245" t="s">
        <v>56</v>
      </c>
      <c r="C245" t="s">
        <v>4</v>
      </c>
      <c r="D245" s="1">
        <v>112775</v>
      </c>
      <c r="E245" s="1">
        <v>817007</v>
      </c>
      <c r="F245" s="2">
        <v>124107</v>
      </c>
    </row>
    <row r="246" spans="1:6" x14ac:dyDescent="0.25">
      <c r="A246">
        <v>2020</v>
      </c>
      <c r="B246" t="s">
        <v>56</v>
      </c>
      <c r="C246" t="s">
        <v>5</v>
      </c>
      <c r="D246" s="1">
        <v>25139</v>
      </c>
      <c r="E246" s="1">
        <v>165271</v>
      </c>
      <c r="F246" s="2">
        <v>97276</v>
      </c>
    </row>
    <row r="247" spans="1:6" x14ac:dyDescent="0.25">
      <c r="A247">
        <v>2020</v>
      </c>
      <c r="B247" t="s">
        <v>56</v>
      </c>
      <c r="C247" t="s">
        <v>6</v>
      </c>
      <c r="D247" s="1">
        <v>11223</v>
      </c>
      <c r="E247" s="1">
        <v>118168</v>
      </c>
      <c r="F247" s="2">
        <v>165086</v>
      </c>
    </row>
    <row r="248" spans="1:6" x14ac:dyDescent="0.25">
      <c r="A248">
        <v>2020</v>
      </c>
      <c r="B248" t="s">
        <v>56</v>
      </c>
      <c r="C248" t="s">
        <v>7</v>
      </c>
      <c r="D248" s="1">
        <v>3005</v>
      </c>
      <c r="E248" s="1">
        <v>47390</v>
      </c>
      <c r="F248" s="2">
        <v>103154</v>
      </c>
    </row>
    <row r="249" spans="1:6" x14ac:dyDescent="0.25">
      <c r="A249">
        <v>2020</v>
      </c>
      <c r="B249" t="s">
        <v>56</v>
      </c>
      <c r="C249" t="s">
        <v>8</v>
      </c>
      <c r="D249" s="1">
        <v>80956</v>
      </c>
      <c r="E249" s="1">
        <v>586706</v>
      </c>
      <c r="F249" s="2">
        <v>84307</v>
      </c>
    </row>
    <row r="250" spans="1:6" x14ac:dyDescent="0.25">
      <c r="A250">
        <v>2020</v>
      </c>
      <c r="B250" t="s">
        <v>56</v>
      </c>
      <c r="C250" t="s">
        <v>9</v>
      </c>
      <c r="D250" s="1">
        <v>28810</v>
      </c>
      <c r="E250" s="1">
        <v>242175</v>
      </c>
      <c r="F250" s="2">
        <v>93145</v>
      </c>
    </row>
    <row r="251" spans="1:6" x14ac:dyDescent="0.25">
      <c r="A251">
        <v>2020</v>
      </c>
      <c r="B251" t="s">
        <v>56</v>
      </c>
      <c r="C251" t="s">
        <v>10</v>
      </c>
      <c r="D251" s="1">
        <v>6508</v>
      </c>
      <c r="E251" s="1">
        <v>34249</v>
      </c>
      <c r="F251" s="2">
        <v>68833</v>
      </c>
    </row>
    <row r="252" spans="1:6" x14ac:dyDescent="0.25">
      <c r="A252">
        <v>2020</v>
      </c>
      <c r="B252" t="s">
        <v>56</v>
      </c>
      <c r="C252" t="s">
        <v>11</v>
      </c>
      <c r="D252" s="1">
        <v>33063</v>
      </c>
      <c r="E252" s="1">
        <v>376539</v>
      </c>
      <c r="F252" s="2">
        <v>121634</v>
      </c>
    </row>
    <row r="253" spans="1:6" x14ac:dyDescent="0.25">
      <c r="A253">
        <v>2020</v>
      </c>
      <c r="B253" t="s">
        <v>56</v>
      </c>
      <c r="C253" t="s">
        <v>12</v>
      </c>
      <c r="D253" s="1">
        <v>17574</v>
      </c>
      <c r="E253" s="1">
        <v>133449</v>
      </c>
      <c r="F253" s="2">
        <v>72283</v>
      </c>
    </row>
    <row r="254" spans="1:6" x14ac:dyDescent="0.25">
      <c r="A254">
        <v>2020</v>
      </c>
      <c r="B254" t="s">
        <v>56</v>
      </c>
      <c r="C254" t="s">
        <v>13</v>
      </c>
      <c r="D254" s="1">
        <v>10731</v>
      </c>
      <c r="E254" s="1">
        <v>109283</v>
      </c>
      <c r="F254" s="2">
        <v>81131</v>
      </c>
    </row>
    <row r="255" spans="1:6" x14ac:dyDescent="0.25">
      <c r="A255">
        <v>2020</v>
      </c>
      <c r="B255" t="s">
        <v>56</v>
      </c>
      <c r="C255" t="s">
        <v>14</v>
      </c>
      <c r="D255" s="1">
        <v>8752</v>
      </c>
      <c r="E255" s="1">
        <v>73310</v>
      </c>
      <c r="F255" s="2">
        <v>75889</v>
      </c>
    </row>
    <row r="256" spans="1:6" x14ac:dyDescent="0.25">
      <c r="A256">
        <v>2020</v>
      </c>
      <c r="B256" t="s">
        <v>56</v>
      </c>
      <c r="C256" t="s">
        <v>15</v>
      </c>
      <c r="D256" s="1">
        <v>11729</v>
      </c>
      <c r="E256" s="1">
        <v>92079</v>
      </c>
      <c r="F256" s="2">
        <v>75177</v>
      </c>
    </row>
    <row r="257" spans="1:6" x14ac:dyDescent="0.25">
      <c r="A257">
        <v>2020</v>
      </c>
      <c r="B257" t="s">
        <v>56</v>
      </c>
      <c r="C257" t="s">
        <v>16</v>
      </c>
      <c r="D257" s="1">
        <v>14229</v>
      </c>
      <c r="E257" s="1">
        <v>81149</v>
      </c>
      <c r="F257" s="2">
        <v>69409</v>
      </c>
    </row>
    <row r="258" spans="1:6" x14ac:dyDescent="0.25">
      <c r="A258">
        <v>2020</v>
      </c>
      <c r="B258" t="s">
        <v>56</v>
      </c>
      <c r="C258" t="s">
        <v>17</v>
      </c>
      <c r="D258" s="1">
        <v>3926</v>
      </c>
      <c r="E258" s="1">
        <v>30107</v>
      </c>
      <c r="F258" s="2">
        <v>75870</v>
      </c>
    </row>
    <row r="259" spans="1:6" x14ac:dyDescent="0.25">
      <c r="A259">
        <v>2020</v>
      </c>
      <c r="B259" t="s">
        <v>56</v>
      </c>
      <c r="C259" t="s">
        <v>18</v>
      </c>
      <c r="D259" s="1">
        <v>15692</v>
      </c>
      <c r="E259" s="1">
        <v>129771</v>
      </c>
      <c r="F259" s="2">
        <v>110159</v>
      </c>
    </row>
    <row r="260" spans="1:6" x14ac:dyDescent="0.25">
      <c r="A260">
        <v>2020</v>
      </c>
      <c r="B260" t="s">
        <v>56</v>
      </c>
      <c r="C260" t="s">
        <v>19</v>
      </c>
      <c r="D260" s="1">
        <v>18137</v>
      </c>
      <c r="E260" s="1">
        <v>212062</v>
      </c>
      <c r="F260" s="2">
        <v>159120</v>
      </c>
    </row>
    <row r="261" spans="1:6" x14ac:dyDescent="0.25">
      <c r="A261">
        <v>2020</v>
      </c>
      <c r="B261" t="s">
        <v>56</v>
      </c>
      <c r="C261" t="s">
        <v>20</v>
      </c>
      <c r="D261" s="1">
        <v>20626</v>
      </c>
      <c r="E261" s="1">
        <v>207448</v>
      </c>
      <c r="F261" s="2">
        <v>81720</v>
      </c>
    </row>
    <row r="262" spans="1:6" x14ac:dyDescent="0.25">
      <c r="A262">
        <v>2020</v>
      </c>
      <c r="B262" t="s">
        <v>56</v>
      </c>
      <c r="C262" t="s">
        <v>21</v>
      </c>
      <c r="D262" s="1">
        <v>16134</v>
      </c>
      <c r="E262" s="1">
        <v>179728</v>
      </c>
      <c r="F262" s="2">
        <v>104989</v>
      </c>
    </row>
    <row r="263" spans="1:6" x14ac:dyDescent="0.25">
      <c r="A263">
        <v>2020</v>
      </c>
      <c r="B263" t="s">
        <v>56</v>
      </c>
      <c r="C263" t="s">
        <v>22</v>
      </c>
      <c r="D263" s="1">
        <v>7984</v>
      </c>
      <c r="E263" s="1">
        <v>41912</v>
      </c>
      <c r="F263" s="2">
        <v>59263</v>
      </c>
    </row>
    <row r="264" spans="1:6" x14ac:dyDescent="0.25">
      <c r="A264">
        <v>2020</v>
      </c>
      <c r="B264" t="s">
        <v>56</v>
      </c>
      <c r="C264" t="s">
        <v>23</v>
      </c>
      <c r="D264" s="1">
        <v>18815</v>
      </c>
      <c r="E264" s="1">
        <v>165564</v>
      </c>
      <c r="F264" s="2">
        <v>82664</v>
      </c>
    </row>
    <row r="265" spans="1:6" x14ac:dyDescent="0.25">
      <c r="A265">
        <v>2020</v>
      </c>
      <c r="B265" t="s">
        <v>56</v>
      </c>
      <c r="C265" t="s">
        <v>24</v>
      </c>
      <c r="D265" s="1">
        <v>4557</v>
      </c>
      <c r="E265" s="1">
        <v>21986</v>
      </c>
      <c r="F265" s="2">
        <v>67330</v>
      </c>
    </row>
    <row r="266" spans="1:6" x14ac:dyDescent="0.25">
      <c r="A266">
        <v>2020</v>
      </c>
      <c r="B266" t="s">
        <v>56</v>
      </c>
      <c r="C266" t="s">
        <v>25</v>
      </c>
      <c r="D266" s="1">
        <v>7000</v>
      </c>
      <c r="E266" s="1">
        <v>66588</v>
      </c>
      <c r="F266" s="2">
        <v>74942</v>
      </c>
    </row>
    <row r="267" spans="1:6" x14ac:dyDescent="0.25">
      <c r="A267">
        <v>2020</v>
      </c>
      <c r="B267" t="s">
        <v>56</v>
      </c>
      <c r="C267" t="s">
        <v>26</v>
      </c>
      <c r="D267" s="1">
        <v>9293</v>
      </c>
      <c r="E267" s="1">
        <v>62325</v>
      </c>
      <c r="F267" s="2">
        <v>79236</v>
      </c>
    </row>
    <row r="268" spans="1:6" x14ac:dyDescent="0.25">
      <c r="A268">
        <v>2020</v>
      </c>
      <c r="B268" t="s">
        <v>56</v>
      </c>
      <c r="C268" t="s">
        <v>27</v>
      </c>
      <c r="D268" s="1">
        <v>3946</v>
      </c>
      <c r="E268" s="1">
        <v>33027</v>
      </c>
      <c r="F268" s="2">
        <v>109751</v>
      </c>
    </row>
    <row r="269" spans="1:6" x14ac:dyDescent="0.25">
      <c r="A269">
        <v>2020</v>
      </c>
      <c r="B269" t="s">
        <v>56</v>
      </c>
      <c r="C269" t="s">
        <v>28</v>
      </c>
      <c r="D269" s="1">
        <v>20469</v>
      </c>
      <c r="E269" s="1">
        <v>235676</v>
      </c>
      <c r="F269" s="2">
        <v>127870</v>
      </c>
    </row>
    <row r="270" spans="1:6" x14ac:dyDescent="0.25">
      <c r="A270">
        <v>2020</v>
      </c>
      <c r="B270" t="s">
        <v>56</v>
      </c>
      <c r="C270" t="s">
        <v>29</v>
      </c>
      <c r="D270" s="1">
        <v>5600</v>
      </c>
      <c r="E270" s="1">
        <v>32608</v>
      </c>
      <c r="F270" s="2">
        <v>62343</v>
      </c>
    </row>
    <row r="271" spans="1:6" x14ac:dyDescent="0.25">
      <c r="A271">
        <v>2020</v>
      </c>
      <c r="B271" t="s">
        <v>56</v>
      </c>
      <c r="C271" t="s">
        <v>30</v>
      </c>
      <c r="D271" s="1">
        <v>63948</v>
      </c>
      <c r="E271" s="1">
        <v>700031</v>
      </c>
      <c r="F271" s="2">
        <v>207014</v>
      </c>
    </row>
    <row r="272" spans="1:6" x14ac:dyDescent="0.25">
      <c r="A272">
        <v>2020</v>
      </c>
      <c r="B272" t="s">
        <v>56</v>
      </c>
      <c r="C272" t="s">
        <v>31</v>
      </c>
      <c r="D272" s="1">
        <v>30275</v>
      </c>
      <c r="E272" s="1">
        <v>251672</v>
      </c>
      <c r="F272" s="2">
        <v>97234</v>
      </c>
    </row>
    <row r="273" spans="1:6" x14ac:dyDescent="0.25">
      <c r="A273">
        <v>2020</v>
      </c>
      <c r="B273" t="s">
        <v>56</v>
      </c>
      <c r="C273" t="s">
        <v>32</v>
      </c>
      <c r="D273" s="1">
        <v>3042</v>
      </c>
      <c r="E273" s="1">
        <v>22496</v>
      </c>
      <c r="F273" s="2">
        <v>69243</v>
      </c>
    </row>
    <row r="274" spans="1:6" x14ac:dyDescent="0.25">
      <c r="A274">
        <v>2020</v>
      </c>
      <c r="B274" t="s">
        <v>56</v>
      </c>
      <c r="C274" t="s">
        <v>33</v>
      </c>
      <c r="D274" s="1">
        <v>29307</v>
      </c>
      <c r="E274" s="1">
        <v>287990</v>
      </c>
      <c r="F274" s="2">
        <v>82336</v>
      </c>
    </row>
    <row r="275" spans="1:6" x14ac:dyDescent="0.25">
      <c r="A275">
        <v>2020</v>
      </c>
      <c r="B275" t="s">
        <v>56</v>
      </c>
      <c r="C275" t="s">
        <v>34</v>
      </c>
      <c r="D275" s="1">
        <v>11701</v>
      </c>
      <c r="E275" s="1">
        <v>74614</v>
      </c>
      <c r="F275" s="2">
        <v>64030</v>
      </c>
    </row>
    <row r="276" spans="1:6" x14ac:dyDescent="0.25">
      <c r="A276">
        <v>2020</v>
      </c>
      <c r="B276" t="s">
        <v>56</v>
      </c>
      <c r="C276" t="s">
        <v>35</v>
      </c>
      <c r="D276" s="1">
        <v>13352</v>
      </c>
      <c r="E276" s="1">
        <v>83937</v>
      </c>
      <c r="F276" s="2">
        <v>80727</v>
      </c>
    </row>
    <row r="277" spans="1:6" x14ac:dyDescent="0.25">
      <c r="A277">
        <v>2020</v>
      </c>
      <c r="B277" t="s">
        <v>56</v>
      </c>
      <c r="C277" t="s">
        <v>36</v>
      </c>
      <c r="D277" s="1">
        <v>29714</v>
      </c>
      <c r="E277" s="1">
        <v>325571</v>
      </c>
      <c r="F277" s="2">
        <v>97231</v>
      </c>
    </row>
    <row r="278" spans="1:6" x14ac:dyDescent="0.25">
      <c r="A278">
        <v>2020</v>
      </c>
      <c r="B278" t="s">
        <v>56</v>
      </c>
      <c r="C278" t="s">
        <v>37</v>
      </c>
      <c r="D278" s="1">
        <v>3038</v>
      </c>
      <c r="E278" s="1">
        <v>31304</v>
      </c>
      <c r="F278" s="2">
        <v>100316</v>
      </c>
    </row>
    <row r="279" spans="1:6" x14ac:dyDescent="0.25">
      <c r="A279">
        <v>2020</v>
      </c>
      <c r="B279" t="s">
        <v>56</v>
      </c>
      <c r="C279" t="s">
        <v>38</v>
      </c>
      <c r="D279" s="1">
        <v>15078</v>
      </c>
      <c r="E279" s="1">
        <v>101637</v>
      </c>
      <c r="F279" s="2">
        <v>71361</v>
      </c>
    </row>
    <row r="280" spans="1:6" x14ac:dyDescent="0.25">
      <c r="A280">
        <v>2020</v>
      </c>
      <c r="B280" t="s">
        <v>56</v>
      </c>
      <c r="C280" t="s">
        <v>39</v>
      </c>
      <c r="D280" s="1">
        <v>3397</v>
      </c>
      <c r="E280" s="1">
        <v>27809</v>
      </c>
      <c r="F280" s="2">
        <v>69345</v>
      </c>
    </row>
    <row r="281" spans="1:6" x14ac:dyDescent="0.25">
      <c r="A281">
        <v>2020</v>
      </c>
      <c r="B281" t="s">
        <v>56</v>
      </c>
      <c r="C281" t="s">
        <v>40</v>
      </c>
      <c r="D281" s="1">
        <v>16893</v>
      </c>
      <c r="E281" s="1">
        <v>155926</v>
      </c>
      <c r="F281" s="2">
        <v>85116</v>
      </c>
    </row>
    <row r="282" spans="1:6" x14ac:dyDescent="0.25">
      <c r="A282">
        <v>2020</v>
      </c>
      <c r="B282" t="s">
        <v>56</v>
      </c>
      <c r="C282" t="s">
        <v>41</v>
      </c>
      <c r="D282" s="1">
        <v>78940</v>
      </c>
      <c r="E282" s="1">
        <v>778554</v>
      </c>
      <c r="F282" s="2">
        <v>92477</v>
      </c>
    </row>
    <row r="283" spans="1:6" x14ac:dyDescent="0.25">
      <c r="A283">
        <v>2020</v>
      </c>
      <c r="B283" t="s">
        <v>56</v>
      </c>
      <c r="C283" t="s">
        <v>42</v>
      </c>
      <c r="D283" s="1">
        <v>12580</v>
      </c>
      <c r="E283" s="1">
        <v>93379</v>
      </c>
      <c r="F283" s="2">
        <v>79806</v>
      </c>
    </row>
    <row r="284" spans="1:6" x14ac:dyDescent="0.25">
      <c r="A284">
        <v>2020</v>
      </c>
      <c r="B284" t="s">
        <v>56</v>
      </c>
      <c r="C284" t="s">
        <v>43</v>
      </c>
      <c r="D284" s="1">
        <v>1719</v>
      </c>
      <c r="E284" s="1">
        <v>11578</v>
      </c>
      <c r="F284" s="2">
        <v>80135</v>
      </c>
    </row>
    <row r="285" spans="1:6" x14ac:dyDescent="0.25">
      <c r="A285">
        <v>2020</v>
      </c>
      <c r="B285" t="s">
        <v>56</v>
      </c>
      <c r="C285" t="s">
        <v>44</v>
      </c>
      <c r="D285" s="1">
        <v>22750</v>
      </c>
      <c r="E285" s="1">
        <v>195671</v>
      </c>
      <c r="F285" s="2">
        <v>97246</v>
      </c>
    </row>
    <row r="286" spans="1:6" x14ac:dyDescent="0.25">
      <c r="A286">
        <v>2020</v>
      </c>
      <c r="B286" t="s">
        <v>56</v>
      </c>
      <c r="C286" t="s">
        <v>45</v>
      </c>
      <c r="D286" s="1">
        <v>18828</v>
      </c>
      <c r="E286" s="1">
        <v>147772</v>
      </c>
      <c r="F286" s="2">
        <v>95674</v>
      </c>
    </row>
    <row r="287" spans="1:6" x14ac:dyDescent="0.25">
      <c r="A287">
        <v>2020</v>
      </c>
      <c r="B287" t="s">
        <v>56</v>
      </c>
      <c r="C287" t="s">
        <v>46</v>
      </c>
      <c r="D287" s="1">
        <v>4042</v>
      </c>
      <c r="E287" s="1">
        <v>24190</v>
      </c>
      <c r="F287" s="2">
        <v>56764</v>
      </c>
    </row>
    <row r="288" spans="1:6" x14ac:dyDescent="0.25">
      <c r="A288">
        <v>2020</v>
      </c>
      <c r="B288" t="s">
        <v>56</v>
      </c>
      <c r="C288" t="s">
        <v>47</v>
      </c>
      <c r="D288" s="1">
        <v>14688</v>
      </c>
      <c r="E288" s="1">
        <v>148829</v>
      </c>
      <c r="F288" s="2">
        <v>80470</v>
      </c>
    </row>
    <row r="289" spans="1:6" x14ac:dyDescent="0.25">
      <c r="A289">
        <v>2020</v>
      </c>
      <c r="B289" t="s">
        <v>56</v>
      </c>
      <c r="C289" t="s">
        <v>48</v>
      </c>
      <c r="D289" s="1">
        <v>2353</v>
      </c>
      <c r="E289" s="1">
        <v>10919</v>
      </c>
      <c r="F289" s="2">
        <v>64480</v>
      </c>
    </row>
    <row r="290" spans="1:6" x14ac:dyDescent="0.25">
      <c r="A290">
        <v>2020</v>
      </c>
      <c r="B290" t="s">
        <v>57</v>
      </c>
      <c r="C290" t="s">
        <v>1</v>
      </c>
      <c r="D290" s="1">
        <v>22875</v>
      </c>
      <c r="E290" s="1">
        <v>242419</v>
      </c>
      <c r="F290" s="2">
        <v>62111</v>
      </c>
    </row>
    <row r="291" spans="1:6" x14ac:dyDescent="0.25">
      <c r="A291">
        <v>2020</v>
      </c>
      <c r="B291" t="s">
        <v>57</v>
      </c>
      <c r="C291" t="s">
        <v>2</v>
      </c>
      <c r="D291" s="1">
        <v>40867</v>
      </c>
      <c r="E291" s="1">
        <v>431379</v>
      </c>
      <c r="F291" s="2">
        <v>63180</v>
      </c>
    </row>
    <row r="292" spans="1:6" x14ac:dyDescent="0.25">
      <c r="A292">
        <v>2020</v>
      </c>
      <c r="B292" t="s">
        <v>57</v>
      </c>
      <c r="C292" t="s">
        <v>3</v>
      </c>
      <c r="D292" s="1">
        <v>15490</v>
      </c>
      <c r="E292" s="1">
        <v>139300</v>
      </c>
      <c r="F292" s="2">
        <v>68067</v>
      </c>
    </row>
    <row r="293" spans="1:6" x14ac:dyDescent="0.25">
      <c r="A293">
        <v>2020</v>
      </c>
      <c r="B293" t="s">
        <v>57</v>
      </c>
      <c r="C293" t="s">
        <v>4</v>
      </c>
      <c r="D293" s="1">
        <v>221985</v>
      </c>
      <c r="E293" s="1">
        <v>2600604</v>
      </c>
      <c r="F293" s="2">
        <v>106486</v>
      </c>
    </row>
    <row r="294" spans="1:6" x14ac:dyDescent="0.25">
      <c r="A294">
        <v>2020</v>
      </c>
      <c r="B294" t="s">
        <v>57</v>
      </c>
      <c r="C294" t="s">
        <v>5</v>
      </c>
      <c r="D294" s="1">
        <v>58286</v>
      </c>
      <c r="E294" s="1">
        <v>430367</v>
      </c>
      <c r="F294" s="2">
        <v>90744</v>
      </c>
    </row>
    <row r="295" spans="1:6" x14ac:dyDescent="0.25">
      <c r="A295">
        <v>2020</v>
      </c>
      <c r="B295" t="s">
        <v>57</v>
      </c>
      <c r="C295" t="s">
        <v>6</v>
      </c>
      <c r="D295" s="1">
        <v>24131</v>
      </c>
      <c r="E295" s="1">
        <v>206629</v>
      </c>
      <c r="F295" s="2">
        <v>95714</v>
      </c>
    </row>
    <row r="296" spans="1:6" x14ac:dyDescent="0.25">
      <c r="A296">
        <v>2020</v>
      </c>
      <c r="B296" t="s">
        <v>57</v>
      </c>
      <c r="C296" t="s">
        <v>7</v>
      </c>
      <c r="D296" s="1">
        <v>9766</v>
      </c>
      <c r="E296" s="1">
        <v>61669</v>
      </c>
      <c r="F296" s="2">
        <v>85651</v>
      </c>
    </row>
    <row r="297" spans="1:6" x14ac:dyDescent="0.25">
      <c r="A297">
        <v>2020</v>
      </c>
      <c r="B297" t="s">
        <v>57</v>
      </c>
      <c r="C297" t="s">
        <v>8</v>
      </c>
      <c r="D297" s="1">
        <v>179893</v>
      </c>
      <c r="E297" s="1">
        <v>1358317</v>
      </c>
      <c r="F297" s="2">
        <v>68223</v>
      </c>
    </row>
    <row r="298" spans="1:6" x14ac:dyDescent="0.25">
      <c r="A298">
        <v>2020</v>
      </c>
      <c r="B298" t="s">
        <v>57</v>
      </c>
      <c r="C298" t="s">
        <v>9</v>
      </c>
      <c r="D298" s="1">
        <v>60683</v>
      </c>
      <c r="E298" s="1">
        <v>692452</v>
      </c>
      <c r="F298" s="2">
        <v>76331</v>
      </c>
    </row>
    <row r="299" spans="1:6" x14ac:dyDescent="0.25">
      <c r="A299">
        <v>2020</v>
      </c>
      <c r="B299" t="s">
        <v>57</v>
      </c>
      <c r="C299" t="s">
        <v>10</v>
      </c>
      <c r="D299" s="1">
        <v>12911</v>
      </c>
      <c r="E299" s="1">
        <v>97097</v>
      </c>
      <c r="F299" s="2">
        <v>59743</v>
      </c>
    </row>
    <row r="300" spans="1:6" x14ac:dyDescent="0.25">
      <c r="A300">
        <v>2020</v>
      </c>
      <c r="B300" t="s">
        <v>57</v>
      </c>
      <c r="C300" t="s">
        <v>11</v>
      </c>
      <c r="D300" s="1">
        <v>75904</v>
      </c>
      <c r="E300" s="1">
        <v>892150</v>
      </c>
      <c r="F300" s="2">
        <v>83889</v>
      </c>
    </row>
    <row r="301" spans="1:6" x14ac:dyDescent="0.25">
      <c r="A301">
        <v>2020</v>
      </c>
      <c r="B301" t="s">
        <v>57</v>
      </c>
      <c r="C301" t="s">
        <v>12</v>
      </c>
      <c r="D301" s="1">
        <v>32143</v>
      </c>
      <c r="E301" s="1">
        <v>326745</v>
      </c>
      <c r="F301" s="2">
        <v>58578</v>
      </c>
    </row>
    <row r="302" spans="1:6" x14ac:dyDescent="0.25">
      <c r="A302">
        <v>2020</v>
      </c>
      <c r="B302" t="s">
        <v>57</v>
      </c>
      <c r="C302" t="s">
        <v>13</v>
      </c>
      <c r="D302" s="1">
        <v>16706</v>
      </c>
      <c r="E302" s="1">
        <v>134822</v>
      </c>
      <c r="F302" s="2">
        <v>61793</v>
      </c>
    </row>
    <row r="303" spans="1:6" x14ac:dyDescent="0.25">
      <c r="A303">
        <v>2020</v>
      </c>
      <c r="B303" t="s">
        <v>57</v>
      </c>
      <c r="C303" t="s">
        <v>14</v>
      </c>
      <c r="D303" s="1">
        <v>16823</v>
      </c>
      <c r="E303" s="1">
        <v>168813</v>
      </c>
      <c r="F303" s="2">
        <v>69538</v>
      </c>
    </row>
    <row r="304" spans="1:6" x14ac:dyDescent="0.25">
      <c r="A304">
        <v>2020</v>
      </c>
      <c r="B304" t="s">
        <v>57</v>
      </c>
      <c r="C304" t="s">
        <v>15</v>
      </c>
      <c r="D304" s="1">
        <v>22329</v>
      </c>
      <c r="E304" s="1">
        <v>207575</v>
      </c>
      <c r="F304" s="2">
        <v>55987</v>
      </c>
    </row>
    <row r="305" spans="1:6" x14ac:dyDescent="0.25">
      <c r="A305">
        <v>2020</v>
      </c>
      <c r="B305" t="s">
        <v>57</v>
      </c>
      <c r="C305" t="s">
        <v>16</v>
      </c>
      <c r="D305" s="1">
        <v>26262</v>
      </c>
      <c r="E305" s="1">
        <v>204729</v>
      </c>
      <c r="F305" s="2">
        <v>60136</v>
      </c>
    </row>
    <row r="306" spans="1:6" x14ac:dyDescent="0.25">
      <c r="A306">
        <v>2020</v>
      </c>
      <c r="B306" t="s">
        <v>57</v>
      </c>
      <c r="C306" t="s">
        <v>17</v>
      </c>
      <c r="D306" s="1">
        <v>11267</v>
      </c>
      <c r="E306" s="1">
        <v>68952</v>
      </c>
      <c r="F306" s="2">
        <v>66178</v>
      </c>
    </row>
    <row r="307" spans="1:6" x14ac:dyDescent="0.25">
      <c r="A307">
        <v>2020</v>
      </c>
      <c r="B307" t="s">
        <v>57</v>
      </c>
      <c r="C307" t="s">
        <v>18</v>
      </c>
      <c r="D307" s="1">
        <v>44172</v>
      </c>
      <c r="E307" s="1">
        <v>441860</v>
      </c>
      <c r="F307" s="2">
        <v>88391</v>
      </c>
    </row>
    <row r="308" spans="1:6" x14ac:dyDescent="0.25">
      <c r="A308">
        <v>2020</v>
      </c>
      <c r="B308" t="s">
        <v>57</v>
      </c>
      <c r="C308" t="s">
        <v>19</v>
      </c>
      <c r="D308" s="1">
        <v>48428</v>
      </c>
      <c r="E308" s="1">
        <v>583792</v>
      </c>
      <c r="F308" s="2">
        <v>124638</v>
      </c>
    </row>
    <row r="309" spans="1:6" x14ac:dyDescent="0.25">
      <c r="A309">
        <v>2020</v>
      </c>
      <c r="B309" t="s">
        <v>57</v>
      </c>
      <c r="C309" t="s">
        <v>20</v>
      </c>
      <c r="D309" s="1">
        <v>46269</v>
      </c>
      <c r="E309" s="1">
        <v>599657</v>
      </c>
      <c r="F309" s="2">
        <v>76432</v>
      </c>
    </row>
    <row r="310" spans="1:6" x14ac:dyDescent="0.25">
      <c r="A310">
        <v>2020</v>
      </c>
      <c r="B310" t="s">
        <v>57</v>
      </c>
      <c r="C310" t="s">
        <v>21</v>
      </c>
      <c r="D310" s="1">
        <v>33603</v>
      </c>
      <c r="E310" s="1">
        <v>361183</v>
      </c>
      <c r="F310" s="2">
        <v>91033</v>
      </c>
    </row>
    <row r="311" spans="1:6" x14ac:dyDescent="0.25">
      <c r="A311">
        <v>2020</v>
      </c>
      <c r="B311" t="s">
        <v>57</v>
      </c>
      <c r="C311" t="s">
        <v>22</v>
      </c>
      <c r="D311" s="1">
        <v>12692</v>
      </c>
      <c r="E311" s="1">
        <v>107758</v>
      </c>
      <c r="F311" s="2">
        <v>45573</v>
      </c>
    </row>
    <row r="312" spans="1:6" x14ac:dyDescent="0.25">
      <c r="A312">
        <v>2020</v>
      </c>
      <c r="B312" t="s">
        <v>57</v>
      </c>
      <c r="C312" t="s">
        <v>23</v>
      </c>
      <c r="D312" s="1">
        <v>36089</v>
      </c>
      <c r="E312" s="1">
        <v>365657</v>
      </c>
      <c r="F312" s="2">
        <v>72666</v>
      </c>
    </row>
    <row r="313" spans="1:6" x14ac:dyDescent="0.25">
      <c r="A313">
        <v>2020</v>
      </c>
      <c r="B313" t="s">
        <v>57</v>
      </c>
      <c r="C313" t="s">
        <v>24</v>
      </c>
      <c r="D313" s="1">
        <v>10331</v>
      </c>
      <c r="E313" s="1">
        <v>43549</v>
      </c>
      <c r="F313" s="2">
        <v>59785</v>
      </c>
    </row>
    <row r="314" spans="1:6" x14ac:dyDescent="0.25">
      <c r="A314">
        <v>2020</v>
      </c>
      <c r="B314" t="s">
        <v>57</v>
      </c>
      <c r="C314" t="s">
        <v>25</v>
      </c>
      <c r="D314" s="1">
        <v>11809</v>
      </c>
      <c r="E314" s="1">
        <v>117288</v>
      </c>
      <c r="F314" s="2">
        <v>65292</v>
      </c>
    </row>
    <row r="315" spans="1:6" x14ac:dyDescent="0.25">
      <c r="A315">
        <v>2020</v>
      </c>
      <c r="B315" t="s">
        <v>57</v>
      </c>
      <c r="C315" t="s">
        <v>26</v>
      </c>
      <c r="D315" s="1">
        <v>20046</v>
      </c>
      <c r="E315" s="1">
        <v>179092</v>
      </c>
      <c r="F315" s="2">
        <v>67081</v>
      </c>
    </row>
    <row r="316" spans="1:6" x14ac:dyDescent="0.25">
      <c r="A316">
        <v>2020</v>
      </c>
      <c r="B316" t="s">
        <v>57</v>
      </c>
      <c r="C316" t="s">
        <v>27</v>
      </c>
      <c r="D316" s="1">
        <v>13616</v>
      </c>
      <c r="E316" s="1">
        <v>81639</v>
      </c>
      <c r="F316" s="2">
        <v>88167</v>
      </c>
    </row>
    <row r="317" spans="1:6" x14ac:dyDescent="0.25">
      <c r="A317">
        <v>2020</v>
      </c>
      <c r="B317" t="s">
        <v>57</v>
      </c>
      <c r="C317" t="s">
        <v>28</v>
      </c>
      <c r="D317" s="1">
        <v>53304</v>
      </c>
      <c r="E317" s="1">
        <v>643507</v>
      </c>
      <c r="F317" s="2">
        <v>102666</v>
      </c>
    </row>
    <row r="318" spans="1:6" x14ac:dyDescent="0.25">
      <c r="A318">
        <v>2020</v>
      </c>
      <c r="B318" t="s">
        <v>57</v>
      </c>
      <c r="C318" t="s">
        <v>29</v>
      </c>
      <c r="D318" s="1">
        <v>11550</v>
      </c>
      <c r="E318" s="1">
        <v>107707</v>
      </c>
      <c r="F318" s="2">
        <v>69938</v>
      </c>
    </row>
    <row r="319" spans="1:6" x14ac:dyDescent="0.25">
      <c r="A319">
        <v>2020</v>
      </c>
      <c r="B319" t="s">
        <v>57</v>
      </c>
      <c r="C319" t="s">
        <v>30</v>
      </c>
      <c r="D319" s="1">
        <v>117347</v>
      </c>
      <c r="E319" s="1">
        <v>1242471</v>
      </c>
      <c r="F319" s="2">
        <v>109413</v>
      </c>
    </row>
    <row r="320" spans="1:6" x14ac:dyDescent="0.25">
      <c r="A320">
        <v>2020</v>
      </c>
      <c r="B320" t="s">
        <v>57</v>
      </c>
      <c r="C320" t="s">
        <v>31</v>
      </c>
      <c r="D320" s="1">
        <v>64843</v>
      </c>
      <c r="E320" s="1">
        <v>637719</v>
      </c>
      <c r="F320" s="2">
        <v>72078</v>
      </c>
    </row>
    <row r="321" spans="1:6" x14ac:dyDescent="0.25">
      <c r="A321">
        <v>2020</v>
      </c>
      <c r="B321" t="s">
        <v>57</v>
      </c>
      <c r="C321" t="s">
        <v>32</v>
      </c>
      <c r="D321" s="1">
        <v>5337</v>
      </c>
      <c r="E321" s="1">
        <v>31642</v>
      </c>
      <c r="F321" s="2">
        <v>65877</v>
      </c>
    </row>
    <row r="322" spans="1:6" x14ac:dyDescent="0.25">
      <c r="A322">
        <v>2020</v>
      </c>
      <c r="B322" t="s">
        <v>57</v>
      </c>
      <c r="C322" t="s">
        <v>33</v>
      </c>
      <c r="D322" s="1">
        <v>55987</v>
      </c>
      <c r="E322" s="1">
        <v>697244</v>
      </c>
      <c r="F322" s="2">
        <v>71920</v>
      </c>
    </row>
    <row r="323" spans="1:6" x14ac:dyDescent="0.25">
      <c r="A323">
        <v>2020</v>
      </c>
      <c r="B323" t="s">
        <v>57</v>
      </c>
      <c r="C323" t="s">
        <v>34</v>
      </c>
      <c r="D323" s="1">
        <v>21652</v>
      </c>
      <c r="E323" s="1">
        <v>185307</v>
      </c>
      <c r="F323" s="2">
        <v>58539</v>
      </c>
    </row>
    <row r="324" spans="1:6" x14ac:dyDescent="0.25">
      <c r="A324">
        <v>2020</v>
      </c>
      <c r="B324" t="s">
        <v>57</v>
      </c>
      <c r="C324" t="s">
        <v>35</v>
      </c>
      <c r="D324" s="1">
        <v>27033</v>
      </c>
      <c r="E324" s="1">
        <v>242218</v>
      </c>
      <c r="F324" s="2">
        <v>81224</v>
      </c>
    </row>
    <row r="325" spans="1:6" x14ac:dyDescent="0.25">
      <c r="A325">
        <v>2020</v>
      </c>
      <c r="B325" t="s">
        <v>57</v>
      </c>
      <c r="C325" t="s">
        <v>36</v>
      </c>
      <c r="D325" s="1">
        <v>66210</v>
      </c>
      <c r="E325" s="1">
        <v>766122</v>
      </c>
      <c r="F325" s="2">
        <v>86971</v>
      </c>
    </row>
    <row r="326" spans="1:6" x14ac:dyDescent="0.25">
      <c r="A326">
        <v>2020</v>
      </c>
      <c r="B326" t="s">
        <v>57</v>
      </c>
      <c r="C326" t="s">
        <v>37</v>
      </c>
      <c r="D326" s="1">
        <v>9567</v>
      </c>
      <c r="E326" s="1">
        <v>65232</v>
      </c>
      <c r="F326" s="2">
        <v>75829</v>
      </c>
    </row>
    <row r="327" spans="1:6" x14ac:dyDescent="0.25">
      <c r="A327">
        <v>2020</v>
      </c>
      <c r="B327" t="s">
        <v>57</v>
      </c>
      <c r="C327" t="s">
        <v>38</v>
      </c>
      <c r="D327" s="1">
        <v>30793</v>
      </c>
      <c r="E327" s="1">
        <v>281874</v>
      </c>
      <c r="F327" s="2">
        <v>56907</v>
      </c>
    </row>
    <row r="328" spans="1:6" x14ac:dyDescent="0.25">
      <c r="A328">
        <v>2020</v>
      </c>
      <c r="B328" t="s">
        <v>57</v>
      </c>
      <c r="C328" t="s">
        <v>39</v>
      </c>
      <c r="D328" s="1">
        <v>5876</v>
      </c>
      <c r="E328" s="1">
        <v>32771</v>
      </c>
      <c r="F328" s="2">
        <v>63709</v>
      </c>
    </row>
    <row r="329" spans="1:6" x14ac:dyDescent="0.25">
      <c r="A329">
        <v>2020</v>
      </c>
      <c r="B329" t="s">
        <v>57</v>
      </c>
      <c r="C329" t="s">
        <v>40</v>
      </c>
      <c r="D329" s="1">
        <v>32595</v>
      </c>
      <c r="E329" s="1">
        <v>414644</v>
      </c>
      <c r="F329" s="2">
        <v>66460</v>
      </c>
    </row>
    <row r="330" spans="1:6" x14ac:dyDescent="0.25">
      <c r="A330">
        <v>2020</v>
      </c>
      <c r="B330" t="s">
        <v>57</v>
      </c>
      <c r="C330" t="s">
        <v>41</v>
      </c>
      <c r="D330" s="1">
        <v>146639</v>
      </c>
      <c r="E330" s="1">
        <v>1758991</v>
      </c>
      <c r="F330" s="2">
        <v>81123</v>
      </c>
    </row>
    <row r="331" spans="1:6" x14ac:dyDescent="0.25">
      <c r="A331">
        <v>2020</v>
      </c>
      <c r="B331" t="s">
        <v>57</v>
      </c>
      <c r="C331" t="s">
        <v>42</v>
      </c>
      <c r="D331" s="1">
        <v>25941</v>
      </c>
      <c r="E331" s="1">
        <v>223284</v>
      </c>
      <c r="F331" s="2">
        <v>68355</v>
      </c>
    </row>
    <row r="332" spans="1:6" x14ac:dyDescent="0.25">
      <c r="A332">
        <v>2020</v>
      </c>
      <c r="B332" t="s">
        <v>57</v>
      </c>
      <c r="C332" t="s">
        <v>43</v>
      </c>
      <c r="D332" s="1">
        <v>6346</v>
      </c>
      <c r="E332" s="1">
        <v>28512</v>
      </c>
      <c r="F332" s="2">
        <v>74442</v>
      </c>
    </row>
    <row r="333" spans="1:6" x14ac:dyDescent="0.25">
      <c r="A333">
        <v>2020</v>
      </c>
      <c r="B333" t="s">
        <v>57</v>
      </c>
      <c r="C333" t="s">
        <v>44</v>
      </c>
      <c r="D333" s="1">
        <v>60099</v>
      </c>
      <c r="E333" s="1">
        <v>752090</v>
      </c>
      <c r="F333" s="2">
        <v>96046</v>
      </c>
    </row>
    <row r="334" spans="1:6" x14ac:dyDescent="0.25">
      <c r="A334">
        <v>2020</v>
      </c>
      <c r="B334" t="s">
        <v>57</v>
      </c>
      <c r="C334" t="s">
        <v>45</v>
      </c>
      <c r="D334" s="1">
        <v>43094</v>
      </c>
      <c r="E334" s="1">
        <v>415190</v>
      </c>
      <c r="F334" s="2">
        <v>92279</v>
      </c>
    </row>
    <row r="335" spans="1:6" x14ac:dyDescent="0.25">
      <c r="A335">
        <v>2020</v>
      </c>
      <c r="B335" t="s">
        <v>57</v>
      </c>
      <c r="C335" t="s">
        <v>46</v>
      </c>
      <c r="D335" s="1">
        <v>8599</v>
      </c>
      <c r="E335" s="1">
        <v>65715</v>
      </c>
      <c r="F335" s="2">
        <v>53557</v>
      </c>
    </row>
    <row r="336" spans="1:6" x14ac:dyDescent="0.25">
      <c r="A336">
        <v>2020</v>
      </c>
      <c r="B336" t="s">
        <v>57</v>
      </c>
      <c r="C336" t="s">
        <v>47</v>
      </c>
      <c r="D336" s="1">
        <v>27048</v>
      </c>
      <c r="E336" s="1">
        <v>309780</v>
      </c>
      <c r="F336" s="2">
        <v>67254</v>
      </c>
    </row>
    <row r="337" spans="1:6" x14ac:dyDescent="0.25">
      <c r="A337">
        <v>2020</v>
      </c>
      <c r="B337" t="s">
        <v>57</v>
      </c>
      <c r="C337" t="s">
        <v>48</v>
      </c>
      <c r="D337" s="1">
        <v>4986</v>
      </c>
      <c r="E337" s="1">
        <v>18382</v>
      </c>
      <c r="F337" s="2">
        <v>60233</v>
      </c>
    </row>
    <row r="338" spans="1:6" x14ac:dyDescent="0.25">
      <c r="A338">
        <v>2020</v>
      </c>
      <c r="B338" t="s">
        <v>58</v>
      </c>
      <c r="C338" t="s">
        <v>1</v>
      </c>
      <c r="D338" s="1">
        <v>15859</v>
      </c>
      <c r="E338" s="1">
        <v>228486</v>
      </c>
      <c r="F338" s="2">
        <v>51193</v>
      </c>
    </row>
    <row r="339" spans="1:6" x14ac:dyDescent="0.25">
      <c r="A339">
        <v>2020</v>
      </c>
      <c r="B339" t="s">
        <v>58</v>
      </c>
      <c r="C339" t="s">
        <v>2</v>
      </c>
      <c r="D339" s="1">
        <v>20727</v>
      </c>
      <c r="E339" s="1">
        <v>455356</v>
      </c>
      <c r="F339" s="2">
        <v>56159</v>
      </c>
    </row>
    <row r="340" spans="1:6" x14ac:dyDescent="0.25">
      <c r="A340">
        <v>2020</v>
      </c>
      <c r="B340" t="s">
        <v>58</v>
      </c>
      <c r="C340" t="s">
        <v>3</v>
      </c>
      <c r="D340" s="1">
        <v>15656</v>
      </c>
      <c r="E340" s="1">
        <v>181169</v>
      </c>
      <c r="F340" s="2">
        <v>47435</v>
      </c>
    </row>
    <row r="341" spans="1:6" x14ac:dyDescent="0.25">
      <c r="A341">
        <v>2020</v>
      </c>
      <c r="B341" t="s">
        <v>58</v>
      </c>
      <c r="C341" t="s">
        <v>4</v>
      </c>
      <c r="D341" s="1">
        <v>656765</v>
      </c>
      <c r="E341" s="1">
        <v>2651781</v>
      </c>
      <c r="F341" s="2">
        <v>57668</v>
      </c>
    </row>
    <row r="342" spans="1:6" x14ac:dyDescent="0.25">
      <c r="A342">
        <v>2020</v>
      </c>
      <c r="B342" t="s">
        <v>58</v>
      </c>
      <c r="C342" t="s">
        <v>5</v>
      </c>
      <c r="D342" s="1">
        <v>23475</v>
      </c>
      <c r="E342" s="1">
        <v>332209</v>
      </c>
      <c r="F342" s="2">
        <v>55198</v>
      </c>
    </row>
    <row r="343" spans="1:6" x14ac:dyDescent="0.25">
      <c r="A343">
        <v>2020</v>
      </c>
      <c r="B343" t="s">
        <v>58</v>
      </c>
      <c r="C343" t="s">
        <v>6</v>
      </c>
      <c r="D343" s="1">
        <v>19964</v>
      </c>
      <c r="E343" s="1">
        <v>319881</v>
      </c>
      <c r="F343" s="2">
        <v>61215</v>
      </c>
    </row>
    <row r="344" spans="1:6" x14ac:dyDescent="0.25">
      <c r="A344">
        <v>2020</v>
      </c>
      <c r="B344" t="s">
        <v>58</v>
      </c>
      <c r="C344" t="s">
        <v>7</v>
      </c>
      <c r="D344" s="1">
        <v>5522</v>
      </c>
      <c r="E344" s="1">
        <v>74184</v>
      </c>
      <c r="F344" s="2">
        <v>57470</v>
      </c>
    </row>
    <row r="345" spans="1:6" x14ac:dyDescent="0.25">
      <c r="A345">
        <v>2020</v>
      </c>
      <c r="B345" t="s">
        <v>58</v>
      </c>
      <c r="C345" t="s">
        <v>8</v>
      </c>
      <c r="D345" s="1">
        <v>85058</v>
      </c>
      <c r="E345" s="1">
        <v>1293582</v>
      </c>
      <c r="F345" s="2">
        <v>55114</v>
      </c>
    </row>
    <row r="346" spans="1:6" x14ac:dyDescent="0.25">
      <c r="A346">
        <v>2020</v>
      </c>
      <c r="B346" t="s">
        <v>58</v>
      </c>
      <c r="C346" t="s">
        <v>9</v>
      </c>
      <c r="D346" s="1">
        <v>31842</v>
      </c>
      <c r="E346" s="1">
        <v>561390</v>
      </c>
      <c r="F346" s="2">
        <v>57141</v>
      </c>
    </row>
    <row r="347" spans="1:6" x14ac:dyDescent="0.25">
      <c r="A347">
        <v>2020</v>
      </c>
      <c r="B347" t="s">
        <v>58</v>
      </c>
      <c r="C347" t="s">
        <v>10</v>
      </c>
      <c r="D347" s="1">
        <v>9128</v>
      </c>
      <c r="E347" s="1">
        <v>106752</v>
      </c>
      <c r="F347" s="2">
        <v>45479</v>
      </c>
    </row>
    <row r="348" spans="1:6" x14ac:dyDescent="0.25">
      <c r="A348">
        <v>2020</v>
      </c>
      <c r="B348" t="s">
        <v>58</v>
      </c>
      <c r="C348" t="s">
        <v>11</v>
      </c>
      <c r="D348" s="1">
        <v>39684</v>
      </c>
      <c r="E348" s="1">
        <v>882088</v>
      </c>
      <c r="F348" s="2">
        <v>55678</v>
      </c>
    </row>
    <row r="349" spans="1:6" x14ac:dyDescent="0.25">
      <c r="A349">
        <v>2020</v>
      </c>
      <c r="B349" t="s">
        <v>58</v>
      </c>
      <c r="C349" t="s">
        <v>12</v>
      </c>
      <c r="D349" s="1">
        <v>16899</v>
      </c>
      <c r="E349" s="1">
        <v>451743</v>
      </c>
      <c r="F349" s="2">
        <v>52802</v>
      </c>
    </row>
    <row r="350" spans="1:6" x14ac:dyDescent="0.25">
      <c r="A350">
        <v>2020</v>
      </c>
      <c r="B350" t="s">
        <v>58</v>
      </c>
      <c r="C350" t="s">
        <v>13</v>
      </c>
      <c r="D350" s="1">
        <v>13294</v>
      </c>
      <c r="E350" s="1">
        <v>209301</v>
      </c>
      <c r="F350" s="2">
        <v>47222</v>
      </c>
    </row>
    <row r="351" spans="1:6" x14ac:dyDescent="0.25">
      <c r="A351">
        <v>2020</v>
      </c>
      <c r="B351" t="s">
        <v>58</v>
      </c>
      <c r="C351" t="s">
        <v>14</v>
      </c>
      <c r="D351" s="1">
        <v>10330</v>
      </c>
      <c r="E351" s="1">
        <v>194569</v>
      </c>
      <c r="F351" s="2">
        <v>48486</v>
      </c>
    </row>
    <row r="352" spans="1:6" x14ac:dyDescent="0.25">
      <c r="A352">
        <v>2020</v>
      </c>
      <c r="B352" t="s">
        <v>58</v>
      </c>
      <c r="C352" t="s">
        <v>15</v>
      </c>
      <c r="D352" s="1">
        <v>20809</v>
      </c>
      <c r="E352" s="1">
        <v>263195</v>
      </c>
      <c r="F352" s="2">
        <v>52098</v>
      </c>
    </row>
    <row r="353" spans="1:6" x14ac:dyDescent="0.25">
      <c r="A353">
        <v>2020</v>
      </c>
      <c r="B353" t="s">
        <v>58</v>
      </c>
      <c r="C353" t="s">
        <v>16</v>
      </c>
      <c r="D353" s="1">
        <v>16834</v>
      </c>
      <c r="E353" s="1">
        <v>296324</v>
      </c>
      <c r="F353" s="2">
        <v>48222</v>
      </c>
    </row>
    <row r="354" spans="1:6" x14ac:dyDescent="0.25">
      <c r="A354">
        <v>2020</v>
      </c>
      <c r="B354" t="s">
        <v>58</v>
      </c>
      <c r="C354" t="s">
        <v>17</v>
      </c>
      <c r="D354" s="1">
        <v>5591</v>
      </c>
      <c r="E354" s="1">
        <v>115511</v>
      </c>
      <c r="F354" s="2">
        <v>53739</v>
      </c>
    </row>
    <row r="355" spans="1:6" x14ac:dyDescent="0.25">
      <c r="A355">
        <v>2020</v>
      </c>
      <c r="B355" t="s">
        <v>58</v>
      </c>
      <c r="C355" t="s">
        <v>18</v>
      </c>
      <c r="D355" s="1">
        <v>21505</v>
      </c>
      <c r="E355" s="1">
        <v>420463</v>
      </c>
      <c r="F355" s="2">
        <v>59854</v>
      </c>
    </row>
    <row r="356" spans="1:6" x14ac:dyDescent="0.25">
      <c r="A356">
        <v>2020</v>
      </c>
      <c r="B356" t="s">
        <v>58</v>
      </c>
      <c r="C356" t="s">
        <v>19</v>
      </c>
      <c r="D356" s="1">
        <v>71270</v>
      </c>
      <c r="E356" s="1">
        <v>742606</v>
      </c>
      <c r="F356" s="2">
        <v>64556</v>
      </c>
    </row>
    <row r="357" spans="1:6" x14ac:dyDescent="0.25">
      <c r="A357">
        <v>2020</v>
      </c>
      <c r="B357" t="s">
        <v>58</v>
      </c>
      <c r="C357" t="s">
        <v>20</v>
      </c>
      <c r="D357" s="1">
        <v>32965</v>
      </c>
      <c r="E357" s="1">
        <v>622119</v>
      </c>
      <c r="F357" s="2">
        <v>54163</v>
      </c>
    </row>
    <row r="358" spans="1:6" x14ac:dyDescent="0.25">
      <c r="A358">
        <v>2020</v>
      </c>
      <c r="B358" t="s">
        <v>58</v>
      </c>
      <c r="C358" t="s">
        <v>21</v>
      </c>
      <c r="D358" s="1">
        <v>22985</v>
      </c>
      <c r="E358" s="1">
        <v>513228</v>
      </c>
      <c r="F358" s="2">
        <v>55127</v>
      </c>
    </row>
    <row r="359" spans="1:6" x14ac:dyDescent="0.25">
      <c r="A359">
        <v>2020</v>
      </c>
      <c r="B359" t="s">
        <v>58</v>
      </c>
      <c r="C359" t="s">
        <v>22</v>
      </c>
      <c r="D359" s="1">
        <v>7693</v>
      </c>
      <c r="E359" s="1">
        <v>138876</v>
      </c>
      <c r="F359" s="2">
        <v>45670</v>
      </c>
    </row>
    <row r="360" spans="1:6" x14ac:dyDescent="0.25">
      <c r="A360">
        <v>2020</v>
      </c>
      <c r="B360" t="s">
        <v>58</v>
      </c>
      <c r="C360" t="s">
        <v>23</v>
      </c>
      <c r="D360" s="1">
        <v>56134</v>
      </c>
      <c r="E360" s="1">
        <v>448355</v>
      </c>
      <c r="F360" s="2">
        <v>50460</v>
      </c>
    </row>
    <row r="361" spans="1:6" x14ac:dyDescent="0.25">
      <c r="A361">
        <v>2020</v>
      </c>
      <c r="B361" t="s">
        <v>58</v>
      </c>
      <c r="C361" t="s">
        <v>24</v>
      </c>
      <c r="D361" s="1">
        <v>5112</v>
      </c>
      <c r="E361" s="1">
        <v>73374</v>
      </c>
      <c r="F361" s="2">
        <v>52612</v>
      </c>
    </row>
    <row r="362" spans="1:6" x14ac:dyDescent="0.25">
      <c r="A362">
        <v>2020</v>
      </c>
      <c r="B362" t="s">
        <v>58</v>
      </c>
      <c r="C362" t="s">
        <v>25</v>
      </c>
      <c r="D362" s="1">
        <v>10522</v>
      </c>
      <c r="E362" s="1">
        <v>135205</v>
      </c>
      <c r="F362" s="2">
        <v>51740</v>
      </c>
    </row>
    <row r="363" spans="1:6" x14ac:dyDescent="0.25">
      <c r="A363">
        <v>2020</v>
      </c>
      <c r="B363" t="s">
        <v>58</v>
      </c>
      <c r="C363" t="s">
        <v>26</v>
      </c>
      <c r="D363" s="1">
        <v>9126</v>
      </c>
      <c r="E363" s="1">
        <v>139696</v>
      </c>
      <c r="F363" s="2">
        <v>58047</v>
      </c>
    </row>
    <row r="364" spans="1:6" x14ac:dyDescent="0.25">
      <c r="A364">
        <v>2020</v>
      </c>
      <c r="B364" t="s">
        <v>58</v>
      </c>
      <c r="C364" t="s">
        <v>27</v>
      </c>
      <c r="D364" s="1">
        <v>4900</v>
      </c>
      <c r="E364" s="1">
        <v>108757</v>
      </c>
      <c r="F364" s="2">
        <v>63675</v>
      </c>
    </row>
    <row r="365" spans="1:6" x14ac:dyDescent="0.25">
      <c r="A365">
        <v>2020</v>
      </c>
      <c r="B365" t="s">
        <v>58</v>
      </c>
      <c r="C365" t="s">
        <v>28</v>
      </c>
      <c r="D365" s="1">
        <v>43568</v>
      </c>
      <c r="E365" s="1">
        <v>622420</v>
      </c>
      <c r="F365" s="2">
        <v>60044</v>
      </c>
    </row>
    <row r="366" spans="1:6" x14ac:dyDescent="0.25">
      <c r="A366">
        <v>2020</v>
      </c>
      <c r="B366" t="s">
        <v>58</v>
      </c>
      <c r="C366" t="s">
        <v>29</v>
      </c>
      <c r="D366" s="1">
        <v>11448</v>
      </c>
      <c r="E366" s="1">
        <v>126459</v>
      </c>
      <c r="F366" s="2">
        <v>45191</v>
      </c>
    </row>
    <row r="367" spans="1:6" x14ac:dyDescent="0.25">
      <c r="A367">
        <v>2020</v>
      </c>
      <c r="B367" t="s">
        <v>58</v>
      </c>
      <c r="C367" t="s">
        <v>30</v>
      </c>
      <c r="D367" s="1">
        <v>67893</v>
      </c>
      <c r="E367" s="1">
        <v>1872526</v>
      </c>
      <c r="F367" s="2">
        <v>58936</v>
      </c>
    </row>
    <row r="368" spans="1:6" x14ac:dyDescent="0.25">
      <c r="A368">
        <v>2020</v>
      </c>
      <c r="B368" t="s">
        <v>58</v>
      </c>
      <c r="C368" t="s">
        <v>31</v>
      </c>
      <c r="D368" s="1">
        <v>29514</v>
      </c>
      <c r="E368" s="1">
        <v>584896</v>
      </c>
      <c r="F368" s="2">
        <v>53252</v>
      </c>
    </row>
    <row r="369" spans="1:6" x14ac:dyDescent="0.25">
      <c r="A369">
        <v>2020</v>
      </c>
      <c r="B369" t="s">
        <v>58</v>
      </c>
      <c r="C369" t="s">
        <v>32</v>
      </c>
      <c r="D369" s="1">
        <v>2737</v>
      </c>
      <c r="E369" s="1">
        <v>64418</v>
      </c>
      <c r="F369" s="2">
        <v>55234</v>
      </c>
    </row>
    <row r="370" spans="1:6" x14ac:dyDescent="0.25">
      <c r="A370">
        <v>2020</v>
      </c>
      <c r="B370" t="s">
        <v>58</v>
      </c>
      <c r="C370" t="s">
        <v>33</v>
      </c>
      <c r="D370" s="1">
        <v>35930</v>
      </c>
      <c r="E370" s="1">
        <v>868191</v>
      </c>
      <c r="F370" s="2">
        <v>51366</v>
      </c>
    </row>
    <row r="371" spans="1:6" x14ac:dyDescent="0.25">
      <c r="A371">
        <v>2020</v>
      </c>
      <c r="B371" t="s">
        <v>58</v>
      </c>
      <c r="C371" t="s">
        <v>34</v>
      </c>
      <c r="D371" s="1">
        <v>13656</v>
      </c>
      <c r="E371" s="1">
        <v>209679</v>
      </c>
      <c r="F371" s="2">
        <v>49095</v>
      </c>
    </row>
    <row r="372" spans="1:6" x14ac:dyDescent="0.25">
      <c r="A372">
        <v>2020</v>
      </c>
      <c r="B372" t="s">
        <v>58</v>
      </c>
      <c r="C372" t="s">
        <v>35</v>
      </c>
      <c r="D372" s="1">
        <v>28106</v>
      </c>
      <c r="E372" s="1">
        <v>292631</v>
      </c>
      <c r="F372" s="2">
        <v>54216</v>
      </c>
    </row>
    <row r="373" spans="1:6" x14ac:dyDescent="0.25">
      <c r="A373">
        <v>2020</v>
      </c>
      <c r="B373" t="s">
        <v>58</v>
      </c>
      <c r="C373" t="s">
        <v>36</v>
      </c>
      <c r="D373" s="1">
        <v>57935</v>
      </c>
      <c r="E373" s="1">
        <v>1179840</v>
      </c>
      <c r="F373" s="2">
        <v>57087</v>
      </c>
    </row>
    <row r="374" spans="1:6" x14ac:dyDescent="0.25">
      <c r="A374">
        <v>2020</v>
      </c>
      <c r="B374" t="s">
        <v>58</v>
      </c>
      <c r="C374" t="s">
        <v>37</v>
      </c>
      <c r="D374" s="1">
        <v>4907</v>
      </c>
      <c r="E374" s="1">
        <v>95079</v>
      </c>
      <c r="F374" s="2">
        <v>54510</v>
      </c>
    </row>
    <row r="375" spans="1:6" x14ac:dyDescent="0.25">
      <c r="A375">
        <v>2020</v>
      </c>
      <c r="B375" t="s">
        <v>58</v>
      </c>
      <c r="C375" t="s">
        <v>38</v>
      </c>
      <c r="D375" s="1">
        <v>15612</v>
      </c>
      <c r="E375" s="1">
        <v>231072</v>
      </c>
      <c r="F375" s="2">
        <v>50055</v>
      </c>
    </row>
    <row r="376" spans="1:6" x14ac:dyDescent="0.25">
      <c r="A376">
        <v>2020</v>
      </c>
      <c r="B376" t="s">
        <v>58</v>
      </c>
      <c r="C376" t="s">
        <v>39</v>
      </c>
      <c r="D376" s="1">
        <v>2934</v>
      </c>
      <c r="E376" s="1">
        <v>68990</v>
      </c>
      <c r="F376" s="2">
        <v>57054</v>
      </c>
    </row>
    <row r="377" spans="1:6" x14ac:dyDescent="0.25">
      <c r="A377">
        <v>2020</v>
      </c>
      <c r="B377" t="s">
        <v>58</v>
      </c>
      <c r="C377" t="s">
        <v>40</v>
      </c>
      <c r="D377" s="1">
        <v>21213</v>
      </c>
      <c r="E377" s="1">
        <v>421097</v>
      </c>
      <c r="F377" s="2">
        <v>56401</v>
      </c>
    </row>
    <row r="378" spans="1:6" x14ac:dyDescent="0.25">
      <c r="A378">
        <v>2020</v>
      </c>
      <c r="B378" t="s">
        <v>58</v>
      </c>
      <c r="C378" t="s">
        <v>41</v>
      </c>
      <c r="D378" s="1">
        <v>98681</v>
      </c>
      <c r="E378" s="1">
        <v>1646144</v>
      </c>
      <c r="F378" s="2">
        <v>51856</v>
      </c>
    </row>
    <row r="379" spans="1:6" x14ac:dyDescent="0.25">
      <c r="A379">
        <v>2020</v>
      </c>
      <c r="B379" t="s">
        <v>58</v>
      </c>
      <c r="C379" t="s">
        <v>42</v>
      </c>
      <c r="D379" s="1">
        <v>13463</v>
      </c>
      <c r="E379" s="1">
        <v>193157</v>
      </c>
      <c r="F379" s="2">
        <v>48260</v>
      </c>
    </row>
    <row r="380" spans="1:6" x14ac:dyDescent="0.25">
      <c r="A380">
        <v>2020</v>
      </c>
      <c r="B380" t="s">
        <v>58</v>
      </c>
      <c r="C380" t="s">
        <v>43</v>
      </c>
      <c r="D380" s="1">
        <v>2516</v>
      </c>
      <c r="E380" s="1">
        <v>58443</v>
      </c>
      <c r="F380" s="2">
        <v>52779</v>
      </c>
    </row>
    <row r="381" spans="1:6" x14ac:dyDescent="0.25">
      <c r="A381">
        <v>2020</v>
      </c>
      <c r="B381" t="s">
        <v>58</v>
      </c>
      <c r="C381" t="s">
        <v>44</v>
      </c>
      <c r="D381" s="1">
        <v>49705</v>
      </c>
      <c r="E381" s="1">
        <v>492598</v>
      </c>
      <c r="F381" s="2">
        <v>54119</v>
      </c>
    </row>
    <row r="382" spans="1:6" x14ac:dyDescent="0.25">
      <c r="A382">
        <v>2020</v>
      </c>
      <c r="B382" t="s">
        <v>58</v>
      </c>
      <c r="C382" t="s">
        <v>45</v>
      </c>
      <c r="D382" s="1">
        <v>74944</v>
      </c>
      <c r="E382" s="1">
        <v>468495</v>
      </c>
      <c r="F382" s="2">
        <v>55544</v>
      </c>
    </row>
    <row r="383" spans="1:6" x14ac:dyDescent="0.25">
      <c r="A383">
        <v>2020</v>
      </c>
      <c r="B383" t="s">
        <v>58</v>
      </c>
      <c r="C383" t="s">
        <v>46</v>
      </c>
      <c r="D383" s="1">
        <v>8500</v>
      </c>
      <c r="E383" s="1">
        <v>124604</v>
      </c>
      <c r="F383" s="2">
        <v>50597</v>
      </c>
    </row>
    <row r="384" spans="1:6" x14ac:dyDescent="0.25">
      <c r="A384">
        <v>2020</v>
      </c>
      <c r="B384" t="s">
        <v>58</v>
      </c>
      <c r="C384" t="s">
        <v>47</v>
      </c>
      <c r="D384" s="1">
        <v>31125</v>
      </c>
      <c r="E384" s="1">
        <v>427152</v>
      </c>
      <c r="F384" s="2">
        <v>52993</v>
      </c>
    </row>
    <row r="385" spans="1:6" x14ac:dyDescent="0.25">
      <c r="A385">
        <v>2020</v>
      </c>
      <c r="B385" t="s">
        <v>58</v>
      </c>
      <c r="C385" t="s">
        <v>48</v>
      </c>
      <c r="D385" s="1">
        <v>3485</v>
      </c>
      <c r="E385" s="1">
        <v>26942</v>
      </c>
      <c r="F385" s="2">
        <v>46334</v>
      </c>
    </row>
    <row r="386" spans="1:6" x14ac:dyDescent="0.25">
      <c r="A386">
        <v>2020</v>
      </c>
      <c r="B386" t="s">
        <v>59</v>
      </c>
      <c r="C386" t="s">
        <v>1</v>
      </c>
      <c r="D386" s="1">
        <v>11221</v>
      </c>
      <c r="E386" s="1">
        <v>178057</v>
      </c>
      <c r="F386" s="2">
        <v>18554</v>
      </c>
    </row>
    <row r="387" spans="1:6" x14ac:dyDescent="0.25">
      <c r="A387">
        <v>2020</v>
      </c>
      <c r="B387" t="s">
        <v>59</v>
      </c>
      <c r="C387" t="s">
        <v>2</v>
      </c>
      <c r="D387" s="1">
        <v>14444</v>
      </c>
      <c r="E387" s="1">
        <v>274985</v>
      </c>
      <c r="F387" s="2">
        <v>26810</v>
      </c>
    </row>
    <row r="388" spans="1:6" x14ac:dyDescent="0.25">
      <c r="A388">
        <v>2020</v>
      </c>
      <c r="B388" t="s">
        <v>59</v>
      </c>
      <c r="C388" t="s">
        <v>3</v>
      </c>
      <c r="D388" s="1">
        <v>7458</v>
      </c>
      <c r="E388" s="1">
        <v>106295</v>
      </c>
      <c r="F388" s="2">
        <v>18414</v>
      </c>
    </row>
    <row r="389" spans="1:6" x14ac:dyDescent="0.25">
      <c r="A389">
        <v>2020</v>
      </c>
      <c r="B389" t="s">
        <v>59</v>
      </c>
      <c r="C389" t="s">
        <v>4</v>
      </c>
      <c r="D389" s="1">
        <v>117833</v>
      </c>
      <c r="E389" s="1">
        <v>1482600</v>
      </c>
      <c r="F389" s="2">
        <v>36090</v>
      </c>
    </row>
    <row r="390" spans="1:6" x14ac:dyDescent="0.25">
      <c r="A390">
        <v>2020</v>
      </c>
      <c r="B390" t="s">
        <v>59</v>
      </c>
      <c r="C390" t="s">
        <v>5</v>
      </c>
      <c r="D390" s="1">
        <v>17650</v>
      </c>
      <c r="E390" s="1">
        <v>271680</v>
      </c>
      <c r="F390" s="2">
        <v>28424</v>
      </c>
    </row>
    <row r="391" spans="1:6" x14ac:dyDescent="0.25">
      <c r="A391">
        <v>2020</v>
      </c>
      <c r="B391" t="s">
        <v>59</v>
      </c>
      <c r="C391" t="s">
        <v>6</v>
      </c>
      <c r="D391" s="1">
        <v>10916</v>
      </c>
      <c r="E391" s="1">
        <v>117365</v>
      </c>
      <c r="F391" s="2">
        <v>26295</v>
      </c>
    </row>
    <row r="392" spans="1:6" x14ac:dyDescent="0.25">
      <c r="A392">
        <v>2020</v>
      </c>
      <c r="B392" t="s">
        <v>59</v>
      </c>
      <c r="C392" t="s">
        <v>7</v>
      </c>
      <c r="D392" s="1">
        <v>2698</v>
      </c>
      <c r="E392" s="1">
        <v>41103</v>
      </c>
      <c r="F392" s="2">
        <v>22228</v>
      </c>
    </row>
    <row r="393" spans="1:6" x14ac:dyDescent="0.25">
      <c r="A393">
        <v>2020</v>
      </c>
      <c r="B393" t="s">
        <v>59</v>
      </c>
      <c r="C393" t="s">
        <v>8</v>
      </c>
      <c r="D393" s="1">
        <v>59645</v>
      </c>
      <c r="E393" s="1">
        <v>1007574</v>
      </c>
      <c r="F393" s="2">
        <v>27709</v>
      </c>
    </row>
    <row r="394" spans="1:6" x14ac:dyDescent="0.25">
      <c r="A394">
        <v>2020</v>
      </c>
      <c r="B394" t="s">
        <v>59</v>
      </c>
      <c r="C394" t="s">
        <v>9</v>
      </c>
      <c r="D394" s="1">
        <v>26741</v>
      </c>
      <c r="E394" s="1">
        <v>414059</v>
      </c>
      <c r="F394" s="2">
        <v>22009</v>
      </c>
    </row>
    <row r="395" spans="1:6" x14ac:dyDescent="0.25">
      <c r="A395">
        <v>2020</v>
      </c>
      <c r="B395" t="s">
        <v>59</v>
      </c>
      <c r="C395" t="s">
        <v>10</v>
      </c>
      <c r="D395" s="1">
        <v>5242</v>
      </c>
      <c r="E395" s="1">
        <v>74574</v>
      </c>
      <c r="F395" s="2">
        <v>18637</v>
      </c>
    </row>
    <row r="396" spans="1:6" x14ac:dyDescent="0.25">
      <c r="A396">
        <v>2020</v>
      </c>
      <c r="B396" t="s">
        <v>59</v>
      </c>
      <c r="C396" t="s">
        <v>11</v>
      </c>
      <c r="D396" s="1">
        <v>32842</v>
      </c>
      <c r="E396" s="1">
        <v>462216</v>
      </c>
      <c r="F396" s="2">
        <v>25054</v>
      </c>
    </row>
    <row r="397" spans="1:6" x14ac:dyDescent="0.25">
      <c r="A397">
        <v>2020</v>
      </c>
      <c r="B397" t="s">
        <v>59</v>
      </c>
      <c r="C397" t="s">
        <v>12</v>
      </c>
      <c r="D397" s="1">
        <v>16068</v>
      </c>
      <c r="E397" s="1">
        <v>263892</v>
      </c>
      <c r="F397" s="2">
        <v>20493</v>
      </c>
    </row>
    <row r="398" spans="1:6" x14ac:dyDescent="0.25">
      <c r="A398">
        <v>2020</v>
      </c>
      <c r="B398" t="s">
        <v>59</v>
      </c>
      <c r="C398" t="s">
        <v>13</v>
      </c>
      <c r="D398" s="1">
        <v>8734</v>
      </c>
      <c r="E398" s="1">
        <v>118383</v>
      </c>
      <c r="F398" s="2">
        <v>18002</v>
      </c>
    </row>
    <row r="399" spans="1:6" x14ac:dyDescent="0.25">
      <c r="A399">
        <v>2020</v>
      </c>
      <c r="B399" t="s">
        <v>59</v>
      </c>
      <c r="C399" t="s">
        <v>14</v>
      </c>
      <c r="D399" s="1">
        <v>6792</v>
      </c>
      <c r="E399" s="1">
        <v>110526</v>
      </c>
      <c r="F399" s="2">
        <v>18088</v>
      </c>
    </row>
    <row r="400" spans="1:6" x14ac:dyDescent="0.25">
      <c r="A400">
        <v>2020</v>
      </c>
      <c r="B400" t="s">
        <v>59</v>
      </c>
      <c r="C400" t="s">
        <v>15</v>
      </c>
      <c r="D400" s="1">
        <v>10331</v>
      </c>
      <c r="E400" s="1">
        <v>165335</v>
      </c>
      <c r="F400" s="2">
        <v>19522</v>
      </c>
    </row>
    <row r="401" spans="1:6" x14ac:dyDescent="0.25">
      <c r="A401">
        <v>2020</v>
      </c>
      <c r="B401" t="s">
        <v>59</v>
      </c>
      <c r="C401" t="s">
        <v>16</v>
      </c>
      <c r="D401" s="1">
        <v>13351</v>
      </c>
      <c r="E401" s="1">
        <v>188383</v>
      </c>
      <c r="F401" s="2">
        <v>22216</v>
      </c>
    </row>
    <row r="402" spans="1:6" x14ac:dyDescent="0.25">
      <c r="A402">
        <v>2020</v>
      </c>
      <c r="B402" t="s">
        <v>59</v>
      </c>
      <c r="C402" t="s">
        <v>17</v>
      </c>
      <c r="D402" s="1">
        <v>5172</v>
      </c>
      <c r="E402" s="1">
        <v>51781</v>
      </c>
      <c r="F402" s="2">
        <v>25112</v>
      </c>
    </row>
    <row r="403" spans="1:6" x14ac:dyDescent="0.25">
      <c r="A403">
        <v>2020</v>
      </c>
      <c r="B403" t="s">
        <v>59</v>
      </c>
      <c r="C403" t="s">
        <v>18</v>
      </c>
      <c r="D403" s="1">
        <v>14823</v>
      </c>
      <c r="E403" s="1">
        <v>210848</v>
      </c>
      <c r="F403" s="2">
        <v>26383</v>
      </c>
    </row>
    <row r="404" spans="1:6" x14ac:dyDescent="0.25">
      <c r="A404">
        <v>2020</v>
      </c>
      <c r="B404" t="s">
        <v>59</v>
      </c>
      <c r="C404" t="s">
        <v>19</v>
      </c>
      <c r="D404" s="1">
        <v>20158</v>
      </c>
      <c r="E404" s="1">
        <v>262049</v>
      </c>
      <c r="F404" s="2">
        <v>30457</v>
      </c>
    </row>
    <row r="405" spans="1:6" x14ac:dyDescent="0.25">
      <c r="A405">
        <v>2020</v>
      </c>
      <c r="B405" t="s">
        <v>59</v>
      </c>
      <c r="C405" t="s">
        <v>20</v>
      </c>
      <c r="D405" s="1">
        <v>23032</v>
      </c>
      <c r="E405" s="1">
        <v>323435</v>
      </c>
      <c r="F405" s="2">
        <v>22254</v>
      </c>
    </row>
    <row r="406" spans="1:6" x14ac:dyDescent="0.25">
      <c r="A406">
        <v>2020</v>
      </c>
      <c r="B406" t="s">
        <v>59</v>
      </c>
      <c r="C406" t="s">
        <v>21</v>
      </c>
      <c r="D406" s="1">
        <v>15355</v>
      </c>
      <c r="E406" s="1">
        <v>204519</v>
      </c>
      <c r="F406" s="2">
        <v>24167</v>
      </c>
    </row>
    <row r="407" spans="1:6" x14ac:dyDescent="0.25">
      <c r="A407">
        <v>2020</v>
      </c>
      <c r="B407" t="s">
        <v>59</v>
      </c>
      <c r="C407" t="s">
        <v>22</v>
      </c>
      <c r="D407" s="1">
        <v>6644</v>
      </c>
      <c r="E407" s="1">
        <v>118107</v>
      </c>
      <c r="F407" s="2">
        <v>18380</v>
      </c>
    </row>
    <row r="408" spans="1:6" x14ac:dyDescent="0.25">
      <c r="A408">
        <v>2020</v>
      </c>
      <c r="B408" t="s">
        <v>59</v>
      </c>
      <c r="C408" t="s">
        <v>23</v>
      </c>
      <c r="D408" s="1">
        <v>15398</v>
      </c>
      <c r="E408" s="1">
        <v>253244</v>
      </c>
      <c r="F408" s="2">
        <v>22154</v>
      </c>
    </row>
    <row r="409" spans="1:6" x14ac:dyDescent="0.25">
      <c r="A409">
        <v>2020</v>
      </c>
      <c r="B409" t="s">
        <v>59</v>
      </c>
      <c r="C409" t="s">
        <v>24</v>
      </c>
      <c r="D409" s="1">
        <v>5182</v>
      </c>
      <c r="E409" s="1">
        <v>58811</v>
      </c>
      <c r="F409" s="2">
        <v>21078</v>
      </c>
    </row>
    <row r="410" spans="1:6" x14ac:dyDescent="0.25">
      <c r="A410">
        <v>2020</v>
      </c>
      <c r="B410" t="s">
        <v>59</v>
      </c>
      <c r="C410" t="s">
        <v>25</v>
      </c>
      <c r="D410" s="1">
        <v>5552</v>
      </c>
      <c r="E410" s="1">
        <v>79529</v>
      </c>
      <c r="F410" s="2">
        <v>18131</v>
      </c>
    </row>
    <row r="411" spans="1:6" x14ac:dyDescent="0.25">
      <c r="A411">
        <v>2020</v>
      </c>
      <c r="B411" t="s">
        <v>59</v>
      </c>
      <c r="C411" t="s">
        <v>26</v>
      </c>
      <c r="D411" s="1">
        <v>8698</v>
      </c>
      <c r="E411" s="1">
        <v>255447</v>
      </c>
      <c r="F411" s="2">
        <v>34061</v>
      </c>
    </row>
    <row r="412" spans="1:6" x14ac:dyDescent="0.25">
      <c r="A412">
        <v>2020</v>
      </c>
      <c r="B412" t="s">
        <v>59</v>
      </c>
      <c r="C412" t="s">
        <v>27</v>
      </c>
      <c r="D412" s="1">
        <v>4677</v>
      </c>
      <c r="E412" s="1">
        <v>57132</v>
      </c>
      <c r="F412" s="2">
        <v>24729</v>
      </c>
    </row>
    <row r="413" spans="1:6" x14ac:dyDescent="0.25">
      <c r="A413">
        <v>2020</v>
      </c>
      <c r="B413" t="s">
        <v>59</v>
      </c>
      <c r="C413" t="s">
        <v>28</v>
      </c>
      <c r="D413" s="1">
        <v>24584</v>
      </c>
      <c r="E413" s="1">
        <v>281546</v>
      </c>
      <c r="F413" s="2">
        <v>28639</v>
      </c>
    </row>
    <row r="414" spans="1:6" x14ac:dyDescent="0.25">
      <c r="A414">
        <v>2020</v>
      </c>
      <c r="B414" t="s">
        <v>59</v>
      </c>
      <c r="C414" t="s">
        <v>29</v>
      </c>
      <c r="D414" s="1">
        <v>5276</v>
      </c>
      <c r="E414" s="1">
        <v>78539</v>
      </c>
      <c r="F414" s="2">
        <v>19988</v>
      </c>
    </row>
    <row r="415" spans="1:6" x14ac:dyDescent="0.25">
      <c r="A415">
        <v>2020</v>
      </c>
      <c r="B415" t="s">
        <v>59</v>
      </c>
      <c r="C415" t="s">
        <v>30</v>
      </c>
      <c r="D415" s="1">
        <v>64959</v>
      </c>
      <c r="E415" s="1">
        <v>632760</v>
      </c>
      <c r="F415" s="2">
        <v>36986</v>
      </c>
    </row>
    <row r="416" spans="1:6" x14ac:dyDescent="0.25">
      <c r="A416">
        <v>2020</v>
      </c>
      <c r="B416" t="s">
        <v>59</v>
      </c>
      <c r="C416" t="s">
        <v>31</v>
      </c>
      <c r="D416" s="1">
        <v>27015</v>
      </c>
      <c r="E416" s="1">
        <v>420420</v>
      </c>
      <c r="F416" s="2">
        <v>21462</v>
      </c>
    </row>
    <row r="417" spans="1:6" x14ac:dyDescent="0.25">
      <c r="A417">
        <v>2020</v>
      </c>
      <c r="B417" t="s">
        <v>59</v>
      </c>
      <c r="C417" t="s">
        <v>32</v>
      </c>
      <c r="D417" s="1">
        <v>2621</v>
      </c>
      <c r="E417" s="1">
        <v>34228</v>
      </c>
      <c r="F417" s="2">
        <v>19193</v>
      </c>
    </row>
    <row r="418" spans="1:6" x14ac:dyDescent="0.25">
      <c r="A418">
        <v>2020</v>
      </c>
      <c r="B418" t="s">
        <v>59</v>
      </c>
      <c r="C418" t="s">
        <v>33</v>
      </c>
      <c r="D418" s="1">
        <v>29197</v>
      </c>
      <c r="E418" s="1">
        <v>466069</v>
      </c>
      <c r="F418" s="2">
        <v>21027</v>
      </c>
    </row>
    <row r="419" spans="1:6" x14ac:dyDescent="0.25">
      <c r="A419">
        <v>2020</v>
      </c>
      <c r="B419" t="s">
        <v>59</v>
      </c>
      <c r="C419" t="s">
        <v>34</v>
      </c>
      <c r="D419" s="1">
        <v>9364</v>
      </c>
      <c r="E419" s="1">
        <v>156230</v>
      </c>
      <c r="F419" s="2">
        <v>19310</v>
      </c>
    </row>
    <row r="420" spans="1:6" x14ac:dyDescent="0.25">
      <c r="A420">
        <v>2020</v>
      </c>
      <c r="B420" t="s">
        <v>59</v>
      </c>
      <c r="C420" t="s">
        <v>35</v>
      </c>
      <c r="D420" s="1">
        <v>13993</v>
      </c>
      <c r="E420" s="1">
        <v>161570</v>
      </c>
      <c r="F420" s="2">
        <v>24338</v>
      </c>
    </row>
    <row r="421" spans="1:6" x14ac:dyDescent="0.25">
      <c r="A421">
        <v>2020</v>
      </c>
      <c r="B421" t="s">
        <v>59</v>
      </c>
      <c r="C421" t="s">
        <v>36</v>
      </c>
      <c r="D421" s="1">
        <v>33532</v>
      </c>
      <c r="E421" s="1">
        <v>424092</v>
      </c>
      <c r="F421" s="2">
        <v>22945</v>
      </c>
    </row>
    <row r="422" spans="1:6" x14ac:dyDescent="0.25">
      <c r="A422">
        <v>2020</v>
      </c>
      <c r="B422" t="s">
        <v>59</v>
      </c>
      <c r="C422" t="s">
        <v>37</v>
      </c>
      <c r="D422" s="1">
        <v>3890</v>
      </c>
      <c r="E422" s="1">
        <v>44621</v>
      </c>
      <c r="F422" s="2">
        <v>24733</v>
      </c>
    </row>
    <row r="423" spans="1:6" x14ac:dyDescent="0.25">
      <c r="A423">
        <v>2020</v>
      </c>
      <c r="B423" t="s">
        <v>59</v>
      </c>
      <c r="C423" t="s">
        <v>38</v>
      </c>
      <c r="D423" s="1">
        <v>13676</v>
      </c>
      <c r="E423" s="1">
        <v>226959</v>
      </c>
      <c r="F423" s="2">
        <v>19677</v>
      </c>
    </row>
    <row r="424" spans="1:6" x14ac:dyDescent="0.25">
      <c r="A424">
        <v>2020</v>
      </c>
      <c r="B424" t="s">
        <v>59</v>
      </c>
      <c r="C424" t="s">
        <v>39</v>
      </c>
      <c r="D424" s="1">
        <v>3184</v>
      </c>
      <c r="E424" s="1">
        <v>41000</v>
      </c>
      <c r="F424" s="2">
        <v>18829</v>
      </c>
    </row>
    <row r="425" spans="1:6" x14ac:dyDescent="0.25">
      <c r="A425">
        <v>2020</v>
      </c>
      <c r="B425" t="s">
        <v>59</v>
      </c>
      <c r="C425" t="s">
        <v>40</v>
      </c>
      <c r="D425" s="1">
        <v>17443</v>
      </c>
      <c r="E425" s="1">
        <v>293033</v>
      </c>
      <c r="F425" s="2">
        <v>23771</v>
      </c>
    </row>
    <row r="426" spans="1:6" x14ac:dyDescent="0.25">
      <c r="A426">
        <v>2020</v>
      </c>
      <c r="B426" t="s">
        <v>59</v>
      </c>
      <c r="C426" t="s">
        <v>41</v>
      </c>
      <c r="D426" s="1">
        <v>66777</v>
      </c>
      <c r="E426" s="1">
        <v>1178456</v>
      </c>
      <c r="F426" s="2">
        <v>23001</v>
      </c>
    </row>
    <row r="427" spans="1:6" x14ac:dyDescent="0.25">
      <c r="A427">
        <v>2020</v>
      </c>
      <c r="B427" t="s">
        <v>59</v>
      </c>
      <c r="C427" t="s">
        <v>42</v>
      </c>
      <c r="D427" s="1">
        <v>7766</v>
      </c>
      <c r="E427" s="1">
        <v>133375</v>
      </c>
      <c r="F427" s="2">
        <v>21580</v>
      </c>
    </row>
    <row r="428" spans="1:6" x14ac:dyDescent="0.25">
      <c r="A428">
        <v>2020</v>
      </c>
      <c r="B428" t="s">
        <v>59</v>
      </c>
      <c r="C428" t="s">
        <v>43</v>
      </c>
      <c r="D428" s="1">
        <v>2220</v>
      </c>
      <c r="E428" s="1">
        <v>25985</v>
      </c>
      <c r="F428" s="2">
        <v>26068</v>
      </c>
    </row>
    <row r="429" spans="1:6" x14ac:dyDescent="0.25">
      <c r="A429">
        <v>2020</v>
      </c>
      <c r="B429" t="s">
        <v>59</v>
      </c>
      <c r="C429" t="s">
        <v>44</v>
      </c>
      <c r="D429" s="1">
        <v>20954</v>
      </c>
      <c r="E429" s="1">
        <v>322216</v>
      </c>
      <c r="F429" s="2">
        <v>22634</v>
      </c>
    </row>
    <row r="430" spans="1:6" x14ac:dyDescent="0.25">
      <c r="A430">
        <v>2020</v>
      </c>
      <c r="B430" t="s">
        <v>59</v>
      </c>
      <c r="C430" t="s">
        <v>45</v>
      </c>
      <c r="D430" s="1">
        <v>20710</v>
      </c>
      <c r="E430" s="1">
        <v>255412</v>
      </c>
      <c r="F430" s="2">
        <v>26657</v>
      </c>
    </row>
    <row r="431" spans="1:6" x14ac:dyDescent="0.25">
      <c r="A431">
        <v>2020</v>
      </c>
      <c r="B431" t="s">
        <v>59</v>
      </c>
      <c r="C431" t="s">
        <v>46</v>
      </c>
      <c r="D431" s="1">
        <v>4602</v>
      </c>
      <c r="E431" s="1">
        <v>61253</v>
      </c>
      <c r="F431" s="2">
        <v>18945</v>
      </c>
    </row>
    <row r="432" spans="1:6" x14ac:dyDescent="0.25">
      <c r="A432">
        <v>2020</v>
      </c>
      <c r="B432" t="s">
        <v>59</v>
      </c>
      <c r="C432" t="s">
        <v>47</v>
      </c>
      <c r="D432" s="1">
        <v>16783</v>
      </c>
      <c r="E432" s="1">
        <v>227495</v>
      </c>
      <c r="F432" s="2">
        <v>19473</v>
      </c>
    </row>
    <row r="433" spans="1:6" x14ac:dyDescent="0.25">
      <c r="A433">
        <v>2020</v>
      </c>
      <c r="B433" t="s">
        <v>59</v>
      </c>
      <c r="C433" t="s">
        <v>48</v>
      </c>
      <c r="D433" s="1">
        <v>2418</v>
      </c>
      <c r="E433" s="1">
        <v>32312</v>
      </c>
      <c r="F433" s="2">
        <v>23041</v>
      </c>
    </row>
    <row r="434" spans="1:6" x14ac:dyDescent="0.25">
      <c r="A434">
        <v>2020</v>
      </c>
      <c r="B434" t="s">
        <v>60</v>
      </c>
      <c r="C434" t="s">
        <v>1</v>
      </c>
      <c r="D434" s="1">
        <v>9048</v>
      </c>
      <c r="E434" s="1">
        <v>42367</v>
      </c>
      <c r="F434" s="2">
        <v>41437</v>
      </c>
    </row>
    <row r="435" spans="1:6" x14ac:dyDescent="0.25">
      <c r="A435">
        <v>2020</v>
      </c>
      <c r="B435" t="s">
        <v>60</v>
      </c>
      <c r="C435" t="s">
        <v>2</v>
      </c>
      <c r="D435" s="1">
        <v>10878</v>
      </c>
      <c r="E435" s="1">
        <v>69183</v>
      </c>
      <c r="F435" s="2">
        <v>42482</v>
      </c>
    </row>
    <row r="436" spans="1:6" x14ac:dyDescent="0.25">
      <c r="A436">
        <v>2020</v>
      </c>
      <c r="B436" t="s">
        <v>60</v>
      </c>
      <c r="C436" t="s">
        <v>3</v>
      </c>
      <c r="D436" s="1">
        <v>5464</v>
      </c>
      <c r="E436" s="1">
        <v>23724</v>
      </c>
      <c r="F436" s="2">
        <v>38111</v>
      </c>
    </row>
    <row r="437" spans="1:6" x14ac:dyDescent="0.25">
      <c r="A437">
        <v>2020</v>
      </c>
      <c r="B437" t="s">
        <v>60</v>
      </c>
      <c r="C437" t="s">
        <v>4</v>
      </c>
      <c r="D437" s="1">
        <v>97116</v>
      </c>
      <c r="E437" s="1">
        <v>452175</v>
      </c>
      <c r="F437" s="2">
        <v>47080</v>
      </c>
    </row>
    <row r="438" spans="1:6" x14ac:dyDescent="0.25">
      <c r="A438">
        <v>2020</v>
      </c>
      <c r="B438" t="s">
        <v>60</v>
      </c>
      <c r="C438" t="s">
        <v>5</v>
      </c>
      <c r="D438" s="1">
        <v>16860</v>
      </c>
      <c r="E438" s="1">
        <v>76766</v>
      </c>
      <c r="F438" s="2">
        <v>45642</v>
      </c>
    </row>
    <row r="439" spans="1:6" x14ac:dyDescent="0.25">
      <c r="A439">
        <v>2020</v>
      </c>
      <c r="B439" t="s">
        <v>60</v>
      </c>
      <c r="C439" t="s">
        <v>6</v>
      </c>
      <c r="D439" s="1">
        <v>12480</v>
      </c>
      <c r="E439" s="1">
        <v>48120</v>
      </c>
      <c r="F439" s="2">
        <v>42136</v>
      </c>
    </row>
    <row r="440" spans="1:6" x14ac:dyDescent="0.25">
      <c r="A440">
        <v>2020</v>
      </c>
      <c r="B440" t="s">
        <v>60</v>
      </c>
      <c r="C440" t="s">
        <v>7</v>
      </c>
      <c r="D440" s="1">
        <v>2088</v>
      </c>
      <c r="E440" s="1">
        <v>10706</v>
      </c>
      <c r="F440" s="2">
        <v>38135</v>
      </c>
    </row>
    <row r="441" spans="1:6" x14ac:dyDescent="0.25">
      <c r="A441">
        <v>2020</v>
      </c>
      <c r="B441" t="s">
        <v>60</v>
      </c>
      <c r="C441" t="s">
        <v>8</v>
      </c>
      <c r="D441" s="1">
        <v>54871</v>
      </c>
      <c r="E441" s="1">
        <v>254577</v>
      </c>
      <c r="F441" s="2">
        <v>41154</v>
      </c>
    </row>
    <row r="442" spans="1:6" x14ac:dyDescent="0.25">
      <c r="A442">
        <v>2020</v>
      </c>
      <c r="B442" t="s">
        <v>60</v>
      </c>
      <c r="C442" t="s">
        <v>9</v>
      </c>
      <c r="D442" s="1">
        <v>19294</v>
      </c>
      <c r="E442" s="1">
        <v>101509</v>
      </c>
      <c r="F442" s="2">
        <v>41319</v>
      </c>
    </row>
    <row r="443" spans="1:6" x14ac:dyDescent="0.25">
      <c r="A443">
        <v>2020</v>
      </c>
      <c r="B443" t="s">
        <v>60</v>
      </c>
      <c r="C443" t="s">
        <v>10</v>
      </c>
      <c r="D443" s="1">
        <v>4119</v>
      </c>
      <c r="E443" s="1">
        <v>18237</v>
      </c>
      <c r="F443" s="2">
        <v>35029</v>
      </c>
    </row>
    <row r="444" spans="1:6" x14ac:dyDescent="0.25">
      <c r="A444">
        <v>2020</v>
      </c>
      <c r="B444" t="s">
        <v>60</v>
      </c>
      <c r="C444" t="s">
        <v>11</v>
      </c>
      <c r="D444" s="1">
        <v>35477</v>
      </c>
      <c r="E444" s="1">
        <v>184359</v>
      </c>
      <c r="F444" s="2">
        <v>48230</v>
      </c>
    </row>
    <row r="445" spans="1:6" x14ac:dyDescent="0.25">
      <c r="A445">
        <v>2020</v>
      </c>
      <c r="B445" t="s">
        <v>60</v>
      </c>
      <c r="C445" t="s">
        <v>12</v>
      </c>
      <c r="D445" s="1">
        <v>13233</v>
      </c>
      <c r="E445" s="1">
        <v>80627</v>
      </c>
      <c r="F445" s="2">
        <v>36636</v>
      </c>
    </row>
    <row r="446" spans="1:6" x14ac:dyDescent="0.25">
      <c r="A446">
        <v>2020</v>
      </c>
      <c r="B446" t="s">
        <v>60</v>
      </c>
      <c r="C446" t="s">
        <v>13</v>
      </c>
      <c r="D446" s="1">
        <v>7585</v>
      </c>
      <c r="E446" s="1">
        <v>37229</v>
      </c>
      <c r="F446" s="2">
        <v>40163</v>
      </c>
    </row>
    <row r="447" spans="1:6" x14ac:dyDescent="0.25">
      <c r="A447">
        <v>2020</v>
      </c>
      <c r="B447" t="s">
        <v>60</v>
      </c>
      <c r="C447" t="s">
        <v>14</v>
      </c>
      <c r="D447" s="1">
        <v>5873</v>
      </c>
      <c r="E447" s="1">
        <v>31183</v>
      </c>
      <c r="F447" s="2">
        <v>38965</v>
      </c>
    </row>
    <row r="448" spans="1:6" x14ac:dyDescent="0.25">
      <c r="A448">
        <v>2020</v>
      </c>
      <c r="B448" t="s">
        <v>60</v>
      </c>
      <c r="C448" t="s">
        <v>15</v>
      </c>
      <c r="D448" s="1">
        <v>9084</v>
      </c>
      <c r="E448" s="1">
        <v>40228</v>
      </c>
      <c r="F448" s="2">
        <v>38895</v>
      </c>
    </row>
    <row r="449" spans="1:6" x14ac:dyDescent="0.25">
      <c r="A449">
        <v>2020</v>
      </c>
      <c r="B449" t="s">
        <v>60</v>
      </c>
      <c r="C449" t="s">
        <v>16</v>
      </c>
      <c r="D449" s="1">
        <v>9437</v>
      </c>
      <c r="E449" s="1">
        <v>41500</v>
      </c>
      <c r="F449" s="2">
        <v>41226</v>
      </c>
    </row>
    <row r="450" spans="1:6" x14ac:dyDescent="0.25">
      <c r="A450">
        <v>2020</v>
      </c>
      <c r="B450" t="s">
        <v>60</v>
      </c>
      <c r="C450" t="s">
        <v>17</v>
      </c>
      <c r="D450" s="1">
        <v>3830</v>
      </c>
      <c r="E450" s="1">
        <v>16120</v>
      </c>
      <c r="F450" s="2">
        <v>39497</v>
      </c>
    </row>
    <row r="451" spans="1:6" x14ac:dyDescent="0.25">
      <c r="A451">
        <v>2020</v>
      </c>
      <c r="B451" t="s">
        <v>60</v>
      </c>
      <c r="C451" t="s">
        <v>18</v>
      </c>
      <c r="D451" s="1">
        <v>19028</v>
      </c>
      <c r="E451" s="1">
        <v>78236</v>
      </c>
      <c r="F451" s="2">
        <v>48238</v>
      </c>
    </row>
    <row r="452" spans="1:6" x14ac:dyDescent="0.25">
      <c r="A452">
        <v>2020</v>
      </c>
      <c r="B452" t="s">
        <v>60</v>
      </c>
      <c r="C452" t="s">
        <v>19</v>
      </c>
      <c r="D452" s="1">
        <v>21927</v>
      </c>
      <c r="E452" s="1">
        <v>98276</v>
      </c>
      <c r="F452" s="2">
        <v>46345</v>
      </c>
    </row>
    <row r="453" spans="1:6" x14ac:dyDescent="0.25">
      <c r="A453">
        <v>2020</v>
      </c>
      <c r="B453" t="s">
        <v>60</v>
      </c>
      <c r="C453" t="s">
        <v>20</v>
      </c>
      <c r="D453" s="1">
        <v>25486</v>
      </c>
      <c r="E453" s="1">
        <v>114074</v>
      </c>
      <c r="F453" s="2">
        <v>39650</v>
      </c>
    </row>
    <row r="454" spans="1:6" x14ac:dyDescent="0.25">
      <c r="A454">
        <v>2020</v>
      </c>
      <c r="B454" t="s">
        <v>60</v>
      </c>
      <c r="C454" t="s">
        <v>21</v>
      </c>
      <c r="D454" s="1">
        <v>17118</v>
      </c>
      <c r="E454" s="1">
        <v>77083</v>
      </c>
      <c r="F454" s="2">
        <v>39485</v>
      </c>
    </row>
    <row r="455" spans="1:6" x14ac:dyDescent="0.25">
      <c r="A455">
        <v>2020</v>
      </c>
      <c r="B455" t="s">
        <v>60</v>
      </c>
      <c r="C455" t="s">
        <v>22</v>
      </c>
      <c r="D455" s="1">
        <v>4625</v>
      </c>
      <c r="E455" s="1">
        <v>19993</v>
      </c>
      <c r="F455" s="2">
        <v>38520</v>
      </c>
    </row>
    <row r="456" spans="1:6" x14ac:dyDescent="0.25">
      <c r="A456">
        <v>2020</v>
      </c>
      <c r="B456" t="s">
        <v>60</v>
      </c>
      <c r="C456" t="s">
        <v>23</v>
      </c>
      <c r="D456" s="1">
        <v>13399</v>
      </c>
      <c r="E456" s="1">
        <v>68557</v>
      </c>
      <c r="F456" s="2">
        <v>38496</v>
      </c>
    </row>
    <row r="457" spans="1:6" x14ac:dyDescent="0.25">
      <c r="A457">
        <v>2020</v>
      </c>
      <c r="B457" t="s">
        <v>60</v>
      </c>
      <c r="C457" t="s">
        <v>24</v>
      </c>
      <c r="D457" s="1">
        <v>4199</v>
      </c>
      <c r="E457" s="1">
        <v>17236</v>
      </c>
      <c r="F457" s="2">
        <v>34349</v>
      </c>
    </row>
    <row r="458" spans="1:6" x14ac:dyDescent="0.25">
      <c r="A458">
        <v>2020</v>
      </c>
      <c r="B458" t="s">
        <v>60</v>
      </c>
      <c r="C458" t="s">
        <v>25</v>
      </c>
      <c r="D458" s="1">
        <v>4602</v>
      </c>
      <c r="E458" s="1">
        <v>24061</v>
      </c>
      <c r="F458" s="2">
        <v>36266</v>
      </c>
    </row>
    <row r="459" spans="1:6" x14ac:dyDescent="0.25">
      <c r="A459">
        <v>2020</v>
      </c>
      <c r="B459" t="s">
        <v>60</v>
      </c>
      <c r="C459" t="s">
        <v>26</v>
      </c>
      <c r="D459" s="1">
        <v>5067</v>
      </c>
      <c r="E459" s="1">
        <v>30593</v>
      </c>
      <c r="F459" s="2">
        <v>41698</v>
      </c>
    </row>
    <row r="460" spans="1:6" x14ac:dyDescent="0.25">
      <c r="A460">
        <v>2020</v>
      </c>
      <c r="B460" t="s">
        <v>60</v>
      </c>
      <c r="C460" t="s">
        <v>27</v>
      </c>
      <c r="D460" s="1">
        <v>4109</v>
      </c>
      <c r="E460" s="1">
        <v>18869</v>
      </c>
      <c r="F460" s="2">
        <v>43107</v>
      </c>
    </row>
    <row r="461" spans="1:6" x14ac:dyDescent="0.25">
      <c r="A461">
        <v>2020</v>
      </c>
      <c r="B461" t="s">
        <v>60</v>
      </c>
      <c r="C461" t="s">
        <v>28</v>
      </c>
      <c r="D461" s="1">
        <v>24307</v>
      </c>
      <c r="E461" s="1">
        <v>114130</v>
      </c>
      <c r="F461" s="2">
        <v>41197</v>
      </c>
    </row>
    <row r="462" spans="1:6" x14ac:dyDescent="0.25">
      <c r="A462">
        <v>2020</v>
      </c>
      <c r="B462" t="s">
        <v>60</v>
      </c>
      <c r="C462" t="s">
        <v>29</v>
      </c>
      <c r="D462" s="1">
        <v>4261</v>
      </c>
      <c r="E462" s="1">
        <v>18424</v>
      </c>
      <c r="F462" s="2">
        <v>38699</v>
      </c>
    </row>
    <row r="463" spans="1:6" x14ac:dyDescent="0.25">
      <c r="A463">
        <v>2020</v>
      </c>
      <c r="B463" t="s">
        <v>60</v>
      </c>
      <c r="C463" t="s">
        <v>30</v>
      </c>
      <c r="D463" s="1">
        <v>70935</v>
      </c>
      <c r="E463" s="1">
        <v>307026</v>
      </c>
      <c r="F463" s="2">
        <v>49001</v>
      </c>
    </row>
    <row r="464" spans="1:6" x14ac:dyDescent="0.25">
      <c r="A464">
        <v>2020</v>
      </c>
      <c r="B464" t="s">
        <v>60</v>
      </c>
      <c r="C464" t="s">
        <v>31</v>
      </c>
      <c r="D464" s="1">
        <v>26011</v>
      </c>
      <c r="E464" s="1">
        <v>107703</v>
      </c>
      <c r="F464" s="2">
        <v>39794</v>
      </c>
    </row>
    <row r="465" spans="1:6" x14ac:dyDescent="0.25">
      <c r="A465">
        <v>2020</v>
      </c>
      <c r="B465" t="s">
        <v>60</v>
      </c>
      <c r="C465" t="s">
        <v>32</v>
      </c>
      <c r="D465" s="1">
        <v>2141</v>
      </c>
      <c r="E465" s="1">
        <v>10645</v>
      </c>
      <c r="F465" s="2">
        <v>40484</v>
      </c>
    </row>
    <row r="466" spans="1:6" x14ac:dyDescent="0.25">
      <c r="A466">
        <v>2020</v>
      </c>
      <c r="B466" t="s">
        <v>60</v>
      </c>
      <c r="C466" t="s">
        <v>33</v>
      </c>
      <c r="D466" s="1">
        <v>23929</v>
      </c>
      <c r="E466" s="1">
        <v>138448</v>
      </c>
      <c r="F466" s="2">
        <v>38332</v>
      </c>
    </row>
    <row r="467" spans="1:6" x14ac:dyDescent="0.25">
      <c r="A467">
        <v>2020</v>
      </c>
      <c r="B467" t="s">
        <v>60</v>
      </c>
      <c r="C467" t="s">
        <v>34</v>
      </c>
      <c r="D467" s="1">
        <v>6600</v>
      </c>
      <c r="E467" s="1">
        <v>34047</v>
      </c>
      <c r="F467" s="2">
        <v>37686</v>
      </c>
    </row>
    <row r="468" spans="1:6" x14ac:dyDescent="0.25">
      <c r="A468">
        <v>2020</v>
      </c>
      <c r="B468" t="s">
        <v>60</v>
      </c>
      <c r="C468" t="s">
        <v>35</v>
      </c>
      <c r="D468" s="1">
        <v>14853</v>
      </c>
      <c r="E468" s="1">
        <v>60924</v>
      </c>
      <c r="F468" s="2">
        <v>41296</v>
      </c>
    </row>
    <row r="469" spans="1:6" x14ac:dyDescent="0.25">
      <c r="A469">
        <v>2020</v>
      </c>
      <c r="B469" t="s">
        <v>60</v>
      </c>
      <c r="C469" t="s">
        <v>36</v>
      </c>
      <c r="D469" s="1">
        <v>33590</v>
      </c>
      <c r="E469" s="1">
        <v>169772</v>
      </c>
      <c r="F469" s="2">
        <v>39396</v>
      </c>
    </row>
    <row r="470" spans="1:6" x14ac:dyDescent="0.25">
      <c r="A470">
        <v>2020</v>
      </c>
      <c r="B470" t="s">
        <v>60</v>
      </c>
      <c r="C470" t="s">
        <v>37</v>
      </c>
      <c r="D470" s="1">
        <v>3576</v>
      </c>
      <c r="E470" s="1">
        <v>15156</v>
      </c>
      <c r="F470" s="2">
        <v>38763</v>
      </c>
    </row>
    <row r="471" spans="1:6" x14ac:dyDescent="0.25">
      <c r="A471">
        <v>2020</v>
      </c>
      <c r="B471" t="s">
        <v>60</v>
      </c>
      <c r="C471" t="s">
        <v>38</v>
      </c>
      <c r="D471" s="1">
        <v>10267</v>
      </c>
      <c r="E471" s="1">
        <v>49710</v>
      </c>
      <c r="F471" s="2">
        <v>38110</v>
      </c>
    </row>
    <row r="472" spans="1:6" x14ac:dyDescent="0.25">
      <c r="A472">
        <v>2020</v>
      </c>
      <c r="B472" t="s">
        <v>60</v>
      </c>
      <c r="C472" t="s">
        <v>39</v>
      </c>
      <c r="D472" s="1">
        <v>2313</v>
      </c>
      <c r="E472" s="1">
        <v>11077</v>
      </c>
      <c r="F472" s="2">
        <v>38165</v>
      </c>
    </row>
    <row r="473" spans="1:6" x14ac:dyDescent="0.25">
      <c r="A473">
        <v>2020</v>
      </c>
      <c r="B473" t="s">
        <v>60</v>
      </c>
      <c r="C473" t="s">
        <v>40</v>
      </c>
      <c r="D473" s="1">
        <v>12651</v>
      </c>
      <c r="E473" s="1">
        <v>70977</v>
      </c>
      <c r="F473" s="2">
        <v>40323</v>
      </c>
    </row>
    <row r="474" spans="1:6" x14ac:dyDescent="0.25">
      <c r="A474">
        <v>2020</v>
      </c>
      <c r="B474" t="s">
        <v>60</v>
      </c>
      <c r="C474" t="s">
        <v>41</v>
      </c>
      <c r="D474" s="1">
        <v>57936</v>
      </c>
      <c r="E474" s="1">
        <v>310244</v>
      </c>
      <c r="F474" s="2">
        <v>44055</v>
      </c>
    </row>
    <row r="475" spans="1:6" x14ac:dyDescent="0.25">
      <c r="A475">
        <v>2020</v>
      </c>
      <c r="B475" t="s">
        <v>60</v>
      </c>
      <c r="C475" t="s">
        <v>42</v>
      </c>
      <c r="D475" s="1">
        <v>6849</v>
      </c>
      <c r="E475" s="1">
        <v>35002</v>
      </c>
      <c r="F475" s="2">
        <v>39528</v>
      </c>
    </row>
    <row r="476" spans="1:6" x14ac:dyDescent="0.25">
      <c r="A476">
        <v>2020</v>
      </c>
      <c r="B476" t="s">
        <v>60</v>
      </c>
      <c r="C476" t="s">
        <v>43</v>
      </c>
      <c r="D476" s="1">
        <v>1995</v>
      </c>
      <c r="E476" s="1">
        <v>7681</v>
      </c>
      <c r="F476" s="2">
        <v>41304</v>
      </c>
    </row>
    <row r="477" spans="1:6" x14ac:dyDescent="0.25">
      <c r="A477">
        <v>2020</v>
      </c>
      <c r="B477" t="s">
        <v>60</v>
      </c>
      <c r="C477" t="s">
        <v>44</v>
      </c>
      <c r="D477" s="1">
        <v>29516</v>
      </c>
      <c r="E477" s="1">
        <v>121622</v>
      </c>
      <c r="F477" s="2">
        <v>50744</v>
      </c>
    </row>
    <row r="478" spans="1:6" x14ac:dyDescent="0.25">
      <c r="A478">
        <v>2020</v>
      </c>
      <c r="B478" t="s">
        <v>60</v>
      </c>
      <c r="C478" t="s">
        <v>45</v>
      </c>
      <c r="D478" s="1">
        <v>20259</v>
      </c>
      <c r="E478" s="1">
        <v>89105</v>
      </c>
      <c r="F478" s="2">
        <v>46691</v>
      </c>
    </row>
    <row r="479" spans="1:6" x14ac:dyDescent="0.25">
      <c r="A479">
        <v>2020</v>
      </c>
      <c r="B479" t="s">
        <v>60</v>
      </c>
      <c r="C479" t="s">
        <v>46</v>
      </c>
      <c r="D479" s="1">
        <v>3442</v>
      </c>
      <c r="E479" s="1">
        <v>15621</v>
      </c>
      <c r="F479" s="2">
        <v>35759</v>
      </c>
    </row>
    <row r="480" spans="1:6" x14ac:dyDescent="0.25">
      <c r="A480">
        <v>2020</v>
      </c>
      <c r="B480" t="s">
        <v>60</v>
      </c>
      <c r="C480" t="s">
        <v>47</v>
      </c>
      <c r="D480" s="1">
        <v>13143</v>
      </c>
      <c r="E480" s="1">
        <v>74028</v>
      </c>
      <c r="F480" s="2">
        <v>36058</v>
      </c>
    </row>
    <row r="481" spans="1:6" x14ac:dyDescent="0.25">
      <c r="A481">
        <v>2020</v>
      </c>
      <c r="B481" t="s">
        <v>60</v>
      </c>
      <c r="C481" t="s">
        <v>48</v>
      </c>
      <c r="D481" s="1">
        <v>1669</v>
      </c>
      <c r="E481" s="1">
        <v>6769</v>
      </c>
      <c r="F481" s="2">
        <v>40253</v>
      </c>
    </row>
    <row r="482" spans="1:6" x14ac:dyDescent="0.25">
      <c r="A482">
        <v>2019</v>
      </c>
      <c r="B482" t="s">
        <v>55</v>
      </c>
      <c r="C482" t="s">
        <v>1</v>
      </c>
      <c r="D482" s="1">
        <v>1846</v>
      </c>
      <c r="E482" s="1">
        <v>18939</v>
      </c>
      <c r="F482" s="2">
        <v>56529</v>
      </c>
    </row>
    <row r="483" spans="1:6" x14ac:dyDescent="0.25">
      <c r="A483">
        <v>2019</v>
      </c>
      <c r="B483" t="s">
        <v>55</v>
      </c>
      <c r="C483" t="s">
        <v>2</v>
      </c>
      <c r="D483" s="1">
        <v>1358</v>
      </c>
      <c r="E483" s="1">
        <v>37970</v>
      </c>
      <c r="F483" s="2">
        <v>52262</v>
      </c>
    </row>
    <row r="484" spans="1:6" x14ac:dyDescent="0.25">
      <c r="A484">
        <v>2019</v>
      </c>
      <c r="B484" t="s">
        <v>55</v>
      </c>
      <c r="C484" t="s">
        <v>3</v>
      </c>
      <c r="D484" s="1">
        <v>2577</v>
      </c>
      <c r="E484" s="1">
        <v>16390</v>
      </c>
      <c r="F484" s="2">
        <v>48299</v>
      </c>
    </row>
    <row r="485" spans="1:6" x14ac:dyDescent="0.25">
      <c r="A485">
        <v>2019</v>
      </c>
      <c r="B485" t="s">
        <v>55</v>
      </c>
      <c r="C485" t="s">
        <v>4</v>
      </c>
      <c r="D485" s="1">
        <v>17663</v>
      </c>
      <c r="E485" s="1">
        <v>443581</v>
      </c>
      <c r="F485" s="2">
        <v>40246</v>
      </c>
    </row>
    <row r="486" spans="1:6" x14ac:dyDescent="0.25">
      <c r="A486">
        <v>2019</v>
      </c>
      <c r="B486" t="s">
        <v>55</v>
      </c>
      <c r="C486" t="s">
        <v>5</v>
      </c>
      <c r="D486" s="1">
        <v>3279</v>
      </c>
      <c r="E486" s="1">
        <v>48392</v>
      </c>
      <c r="F486" s="2">
        <v>90328</v>
      </c>
    </row>
    <row r="487" spans="1:6" x14ac:dyDescent="0.25">
      <c r="A487">
        <v>2019</v>
      </c>
      <c r="B487" t="s">
        <v>55</v>
      </c>
      <c r="C487" t="s">
        <v>6</v>
      </c>
      <c r="D487">
        <v>437</v>
      </c>
      <c r="E487" s="1">
        <v>5258</v>
      </c>
      <c r="F487" s="2">
        <v>41449</v>
      </c>
    </row>
    <row r="488" spans="1:6" x14ac:dyDescent="0.25">
      <c r="A488">
        <v>2019</v>
      </c>
      <c r="B488" t="s">
        <v>55</v>
      </c>
      <c r="C488" t="s">
        <v>7</v>
      </c>
      <c r="D488">
        <v>180</v>
      </c>
      <c r="E488" s="1">
        <v>1471</v>
      </c>
      <c r="F488" s="2">
        <v>42123</v>
      </c>
    </row>
    <row r="489" spans="1:6" x14ac:dyDescent="0.25">
      <c r="A489">
        <v>2019</v>
      </c>
      <c r="B489" t="s">
        <v>55</v>
      </c>
      <c r="C489" t="s">
        <v>8</v>
      </c>
      <c r="D489" s="1">
        <v>5304</v>
      </c>
      <c r="E489" s="1">
        <v>71329</v>
      </c>
      <c r="F489" s="2">
        <v>35645</v>
      </c>
    </row>
    <row r="490" spans="1:6" x14ac:dyDescent="0.25">
      <c r="A490">
        <v>2019</v>
      </c>
      <c r="B490" t="s">
        <v>55</v>
      </c>
      <c r="C490" t="s">
        <v>9</v>
      </c>
      <c r="D490" s="1">
        <v>2662</v>
      </c>
      <c r="E490" s="1">
        <v>29910</v>
      </c>
      <c r="F490" s="2">
        <v>43258</v>
      </c>
    </row>
    <row r="491" spans="1:6" x14ac:dyDescent="0.25">
      <c r="A491">
        <v>2019</v>
      </c>
      <c r="B491" t="s">
        <v>55</v>
      </c>
      <c r="C491" t="s">
        <v>10</v>
      </c>
      <c r="D491" s="1">
        <v>2401</v>
      </c>
      <c r="E491" s="1">
        <v>26555</v>
      </c>
      <c r="F491" s="2">
        <v>41105</v>
      </c>
    </row>
    <row r="492" spans="1:6" x14ac:dyDescent="0.25">
      <c r="A492">
        <v>2019</v>
      </c>
      <c r="B492" t="s">
        <v>55</v>
      </c>
      <c r="C492" t="s">
        <v>11</v>
      </c>
      <c r="D492" s="1">
        <v>2825</v>
      </c>
      <c r="E492" s="1">
        <v>26828</v>
      </c>
      <c r="F492" s="2">
        <v>52197</v>
      </c>
    </row>
    <row r="493" spans="1:6" x14ac:dyDescent="0.25">
      <c r="A493">
        <v>2019</v>
      </c>
      <c r="B493" t="s">
        <v>55</v>
      </c>
      <c r="C493" t="s">
        <v>12</v>
      </c>
      <c r="D493" s="1">
        <v>2255</v>
      </c>
      <c r="E493" s="1">
        <v>21475</v>
      </c>
      <c r="F493" s="2">
        <v>50243</v>
      </c>
    </row>
    <row r="494" spans="1:6" x14ac:dyDescent="0.25">
      <c r="A494">
        <v>2019</v>
      </c>
      <c r="B494" t="s">
        <v>55</v>
      </c>
      <c r="C494" t="s">
        <v>13</v>
      </c>
      <c r="D494" s="1">
        <v>2916</v>
      </c>
      <c r="E494" s="1">
        <v>23431</v>
      </c>
      <c r="F494" s="2">
        <v>44087</v>
      </c>
    </row>
    <row r="495" spans="1:6" x14ac:dyDescent="0.25">
      <c r="A495">
        <v>2019</v>
      </c>
      <c r="B495" t="s">
        <v>55</v>
      </c>
      <c r="C495" t="s">
        <v>14</v>
      </c>
      <c r="D495" s="1">
        <v>2612</v>
      </c>
      <c r="E495" s="1">
        <v>19353</v>
      </c>
      <c r="F495" s="2">
        <v>47802</v>
      </c>
    </row>
    <row r="496" spans="1:6" x14ac:dyDescent="0.25">
      <c r="A496">
        <v>2019</v>
      </c>
      <c r="B496" t="s">
        <v>55</v>
      </c>
      <c r="C496" t="s">
        <v>15</v>
      </c>
      <c r="D496" s="1">
        <v>1561</v>
      </c>
      <c r="E496" s="1">
        <v>18911</v>
      </c>
      <c r="F496" s="2">
        <v>56448</v>
      </c>
    </row>
    <row r="497" spans="1:6" x14ac:dyDescent="0.25">
      <c r="A497">
        <v>2019</v>
      </c>
      <c r="B497" t="s">
        <v>55</v>
      </c>
      <c r="C497" t="s">
        <v>16</v>
      </c>
      <c r="D497" s="1">
        <v>3133</v>
      </c>
      <c r="E497" s="1">
        <v>44052</v>
      </c>
      <c r="F497" s="2">
        <v>87820</v>
      </c>
    </row>
    <row r="498" spans="1:6" x14ac:dyDescent="0.25">
      <c r="A498">
        <v>2019</v>
      </c>
      <c r="B498" t="s">
        <v>55</v>
      </c>
      <c r="C498" t="s">
        <v>17</v>
      </c>
      <c r="D498" s="1">
        <v>1447</v>
      </c>
      <c r="E498" s="1">
        <v>7281</v>
      </c>
      <c r="F498" s="2">
        <v>41157</v>
      </c>
    </row>
    <row r="499" spans="1:6" x14ac:dyDescent="0.25">
      <c r="A499">
        <v>2019</v>
      </c>
      <c r="B499" t="s">
        <v>55</v>
      </c>
      <c r="C499" t="s">
        <v>18</v>
      </c>
      <c r="D499">
        <v>723</v>
      </c>
      <c r="E499" s="1">
        <v>7194</v>
      </c>
      <c r="F499" s="2">
        <v>44642</v>
      </c>
    </row>
    <row r="500" spans="1:6" x14ac:dyDescent="0.25">
      <c r="A500">
        <v>2019</v>
      </c>
      <c r="B500" t="s">
        <v>55</v>
      </c>
      <c r="C500" t="s">
        <v>19</v>
      </c>
      <c r="D500" s="1">
        <v>1007</v>
      </c>
      <c r="E500" s="1">
        <v>10500</v>
      </c>
      <c r="F500" s="2">
        <v>63846</v>
      </c>
    </row>
    <row r="501" spans="1:6" x14ac:dyDescent="0.25">
      <c r="A501">
        <v>2019</v>
      </c>
      <c r="B501" t="s">
        <v>55</v>
      </c>
      <c r="C501" t="s">
        <v>20</v>
      </c>
      <c r="D501" s="1">
        <v>3480</v>
      </c>
      <c r="E501" s="1">
        <v>35622</v>
      </c>
      <c r="F501" s="2">
        <v>41799</v>
      </c>
    </row>
    <row r="502" spans="1:6" x14ac:dyDescent="0.25">
      <c r="A502">
        <v>2019</v>
      </c>
      <c r="B502" t="s">
        <v>55</v>
      </c>
      <c r="C502" t="s">
        <v>21</v>
      </c>
      <c r="D502" s="1">
        <v>3094</v>
      </c>
      <c r="E502" s="1">
        <v>28134</v>
      </c>
      <c r="F502" s="2">
        <v>51107</v>
      </c>
    </row>
    <row r="503" spans="1:6" x14ac:dyDescent="0.25">
      <c r="A503">
        <v>2019</v>
      </c>
      <c r="B503" t="s">
        <v>55</v>
      </c>
      <c r="C503" t="s">
        <v>22</v>
      </c>
      <c r="D503" s="1">
        <v>2110</v>
      </c>
      <c r="E503" s="1">
        <v>15777</v>
      </c>
      <c r="F503" s="2">
        <v>49263</v>
      </c>
    </row>
    <row r="504" spans="1:6" x14ac:dyDescent="0.25">
      <c r="A504">
        <v>2019</v>
      </c>
      <c r="B504" t="s">
        <v>55</v>
      </c>
      <c r="C504" t="s">
        <v>23</v>
      </c>
      <c r="D504" s="1">
        <v>2031</v>
      </c>
      <c r="E504" s="1">
        <v>16899</v>
      </c>
      <c r="F504" s="2">
        <v>44815</v>
      </c>
    </row>
    <row r="505" spans="1:6" x14ac:dyDescent="0.25">
      <c r="A505">
        <v>2019</v>
      </c>
      <c r="B505" t="s">
        <v>55</v>
      </c>
      <c r="C505" t="s">
        <v>24</v>
      </c>
      <c r="D505" s="1">
        <v>1789</v>
      </c>
      <c r="E505" s="1">
        <v>12792</v>
      </c>
      <c r="F505" s="2">
        <v>67162</v>
      </c>
    </row>
    <row r="506" spans="1:6" x14ac:dyDescent="0.25">
      <c r="A506">
        <v>2019</v>
      </c>
      <c r="B506" t="s">
        <v>55</v>
      </c>
      <c r="C506" t="s">
        <v>25</v>
      </c>
      <c r="D506" s="1">
        <v>2414</v>
      </c>
      <c r="E506" s="1">
        <v>15761</v>
      </c>
      <c r="F506" s="2">
        <v>42685</v>
      </c>
    </row>
    <row r="507" spans="1:6" x14ac:dyDescent="0.25">
      <c r="A507">
        <v>2019</v>
      </c>
      <c r="B507" t="s">
        <v>55</v>
      </c>
      <c r="C507" t="s">
        <v>26</v>
      </c>
      <c r="D507">
        <v>618</v>
      </c>
      <c r="E507" s="1">
        <v>19841</v>
      </c>
      <c r="F507" s="2">
        <v>86362</v>
      </c>
    </row>
    <row r="508" spans="1:6" x14ac:dyDescent="0.25">
      <c r="A508">
        <v>2019</v>
      </c>
      <c r="B508" t="s">
        <v>55</v>
      </c>
      <c r="C508" t="s">
        <v>27</v>
      </c>
      <c r="D508">
        <v>350</v>
      </c>
      <c r="E508" s="1">
        <v>2627</v>
      </c>
      <c r="F508" s="2">
        <v>44073</v>
      </c>
    </row>
    <row r="509" spans="1:6" x14ac:dyDescent="0.25">
      <c r="A509">
        <v>2019</v>
      </c>
      <c r="B509" t="s">
        <v>55</v>
      </c>
      <c r="C509" t="s">
        <v>28</v>
      </c>
      <c r="D509">
        <v>998</v>
      </c>
      <c r="E509" s="1">
        <v>12407</v>
      </c>
      <c r="F509" s="2">
        <v>41732</v>
      </c>
    </row>
    <row r="510" spans="1:6" x14ac:dyDescent="0.25">
      <c r="A510">
        <v>2019</v>
      </c>
      <c r="B510" t="s">
        <v>55</v>
      </c>
      <c r="C510" t="s">
        <v>29</v>
      </c>
      <c r="D510" s="1">
        <v>2100</v>
      </c>
      <c r="E510" s="1">
        <v>36949</v>
      </c>
      <c r="F510" s="2">
        <v>68427</v>
      </c>
    </row>
    <row r="511" spans="1:6" x14ac:dyDescent="0.25">
      <c r="A511">
        <v>2019</v>
      </c>
      <c r="B511" t="s">
        <v>55</v>
      </c>
      <c r="C511" t="s">
        <v>30</v>
      </c>
      <c r="D511" s="1">
        <v>3053</v>
      </c>
      <c r="E511" s="1">
        <v>31787</v>
      </c>
      <c r="F511" s="2">
        <v>42992</v>
      </c>
    </row>
    <row r="512" spans="1:6" x14ac:dyDescent="0.25">
      <c r="A512">
        <v>2019</v>
      </c>
      <c r="B512" t="s">
        <v>55</v>
      </c>
      <c r="C512" t="s">
        <v>31</v>
      </c>
      <c r="D512" s="1">
        <v>3378</v>
      </c>
      <c r="E512" s="1">
        <v>29828</v>
      </c>
      <c r="F512" s="2">
        <v>40862</v>
      </c>
    </row>
    <row r="513" spans="1:6" x14ac:dyDescent="0.25">
      <c r="A513">
        <v>2019</v>
      </c>
      <c r="B513" t="s">
        <v>55</v>
      </c>
      <c r="C513" t="s">
        <v>32</v>
      </c>
      <c r="D513" s="1">
        <v>1784</v>
      </c>
      <c r="E513" s="1">
        <v>25973</v>
      </c>
      <c r="F513" s="2">
        <v>97355</v>
      </c>
    </row>
    <row r="514" spans="1:6" x14ac:dyDescent="0.25">
      <c r="A514">
        <v>2019</v>
      </c>
      <c r="B514" t="s">
        <v>55</v>
      </c>
      <c r="C514" t="s">
        <v>33</v>
      </c>
      <c r="D514" s="1">
        <v>2531</v>
      </c>
      <c r="E514" s="1">
        <v>28532</v>
      </c>
      <c r="F514" s="2">
        <v>51860</v>
      </c>
    </row>
    <row r="515" spans="1:6" x14ac:dyDescent="0.25">
      <c r="A515">
        <v>2019</v>
      </c>
      <c r="B515" t="s">
        <v>55</v>
      </c>
      <c r="C515" t="s">
        <v>34</v>
      </c>
      <c r="D515" s="1">
        <v>4402</v>
      </c>
      <c r="E515" s="1">
        <v>56786</v>
      </c>
      <c r="F515" s="2">
        <v>91249</v>
      </c>
    </row>
    <row r="516" spans="1:6" x14ac:dyDescent="0.25">
      <c r="A516">
        <v>2019</v>
      </c>
      <c r="B516" t="s">
        <v>55</v>
      </c>
      <c r="C516" t="s">
        <v>35</v>
      </c>
      <c r="D516" s="1">
        <v>4633</v>
      </c>
      <c r="E516" s="1">
        <v>54550</v>
      </c>
      <c r="F516" s="2">
        <v>37586</v>
      </c>
    </row>
    <row r="517" spans="1:6" x14ac:dyDescent="0.25">
      <c r="A517">
        <v>2019</v>
      </c>
      <c r="B517" t="s">
        <v>55</v>
      </c>
      <c r="C517" t="s">
        <v>36</v>
      </c>
      <c r="D517" s="1">
        <v>3616</v>
      </c>
      <c r="E517" s="1">
        <v>52904</v>
      </c>
      <c r="F517" s="2">
        <v>65014</v>
      </c>
    </row>
    <row r="518" spans="1:6" x14ac:dyDescent="0.25">
      <c r="A518">
        <v>2019</v>
      </c>
      <c r="B518" t="s">
        <v>55</v>
      </c>
      <c r="C518" t="s">
        <v>37</v>
      </c>
      <c r="D518">
        <v>198</v>
      </c>
      <c r="E518" s="1">
        <v>1121</v>
      </c>
      <c r="F518" s="2">
        <v>39917</v>
      </c>
    </row>
    <row r="519" spans="1:6" x14ac:dyDescent="0.25">
      <c r="A519">
        <v>2019</v>
      </c>
      <c r="B519" t="s">
        <v>55</v>
      </c>
      <c r="C519" t="s">
        <v>38</v>
      </c>
      <c r="D519" s="1">
        <v>1345</v>
      </c>
      <c r="E519" s="1">
        <v>12552</v>
      </c>
      <c r="F519" s="2">
        <v>43952</v>
      </c>
    </row>
    <row r="520" spans="1:6" x14ac:dyDescent="0.25">
      <c r="A520">
        <v>2019</v>
      </c>
      <c r="B520" t="s">
        <v>55</v>
      </c>
      <c r="C520" t="s">
        <v>39</v>
      </c>
      <c r="D520" s="1">
        <v>1063</v>
      </c>
      <c r="E520" s="1">
        <v>6986</v>
      </c>
      <c r="F520" s="2">
        <v>43642</v>
      </c>
    </row>
    <row r="521" spans="1:6" x14ac:dyDescent="0.25">
      <c r="A521">
        <v>2019</v>
      </c>
      <c r="B521" t="s">
        <v>55</v>
      </c>
      <c r="C521" t="s">
        <v>40</v>
      </c>
      <c r="D521" s="1">
        <v>1107</v>
      </c>
      <c r="E521" s="1">
        <v>11568</v>
      </c>
      <c r="F521" s="2">
        <v>46865</v>
      </c>
    </row>
    <row r="522" spans="1:6" x14ac:dyDescent="0.25">
      <c r="A522">
        <v>2019</v>
      </c>
      <c r="B522" t="s">
        <v>55</v>
      </c>
      <c r="C522" t="s">
        <v>41</v>
      </c>
      <c r="D522" s="1">
        <v>19971</v>
      </c>
      <c r="E522" s="1">
        <v>307800</v>
      </c>
      <c r="F522" s="2">
        <v>114918</v>
      </c>
    </row>
    <row r="523" spans="1:6" x14ac:dyDescent="0.25">
      <c r="A523">
        <v>2019</v>
      </c>
      <c r="B523" t="s">
        <v>55</v>
      </c>
      <c r="C523" t="s">
        <v>42</v>
      </c>
      <c r="D523" s="1">
        <v>1032</v>
      </c>
      <c r="E523" s="1">
        <v>15160</v>
      </c>
      <c r="F523" s="2">
        <v>63604</v>
      </c>
    </row>
    <row r="524" spans="1:6" x14ac:dyDescent="0.25">
      <c r="A524">
        <v>2019</v>
      </c>
      <c r="B524" t="s">
        <v>55</v>
      </c>
      <c r="C524" t="s">
        <v>43</v>
      </c>
      <c r="D524">
        <v>564</v>
      </c>
      <c r="E524" s="1">
        <v>4130</v>
      </c>
      <c r="F524" s="2">
        <v>39607</v>
      </c>
    </row>
    <row r="525" spans="1:6" x14ac:dyDescent="0.25">
      <c r="A525">
        <v>2019</v>
      </c>
      <c r="B525" t="s">
        <v>55</v>
      </c>
      <c r="C525" t="s">
        <v>44</v>
      </c>
      <c r="D525" s="1">
        <v>2095</v>
      </c>
      <c r="E525" s="1">
        <v>18691</v>
      </c>
      <c r="F525" s="2">
        <v>48704</v>
      </c>
    </row>
    <row r="526" spans="1:6" x14ac:dyDescent="0.25">
      <c r="A526">
        <v>2019</v>
      </c>
      <c r="B526" t="s">
        <v>55</v>
      </c>
      <c r="C526" t="s">
        <v>45</v>
      </c>
      <c r="D526" s="1">
        <v>7117</v>
      </c>
      <c r="E526" s="1">
        <v>105362</v>
      </c>
      <c r="F526" s="2">
        <v>34547</v>
      </c>
    </row>
    <row r="527" spans="1:6" x14ac:dyDescent="0.25">
      <c r="A527">
        <v>2019</v>
      </c>
      <c r="B527" t="s">
        <v>55</v>
      </c>
      <c r="C527" t="s">
        <v>46</v>
      </c>
      <c r="D527" s="1">
        <v>1166</v>
      </c>
      <c r="E527" s="1">
        <v>23333</v>
      </c>
      <c r="F527" s="2">
        <v>80470</v>
      </c>
    </row>
    <row r="528" spans="1:6" x14ac:dyDescent="0.25">
      <c r="A528">
        <v>2019</v>
      </c>
      <c r="B528" t="s">
        <v>55</v>
      </c>
      <c r="C528" t="s">
        <v>47</v>
      </c>
      <c r="D528" s="1">
        <v>2876</v>
      </c>
      <c r="E528" s="1">
        <v>31424</v>
      </c>
      <c r="F528" s="2">
        <v>40225</v>
      </c>
    </row>
    <row r="529" spans="1:6" x14ac:dyDescent="0.25">
      <c r="A529">
        <v>2019</v>
      </c>
      <c r="B529" t="s">
        <v>55</v>
      </c>
      <c r="C529" t="s">
        <v>48</v>
      </c>
      <c r="D529" s="1">
        <v>1463</v>
      </c>
      <c r="E529" s="1">
        <v>23524</v>
      </c>
      <c r="F529" s="2">
        <v>86467</v>
      </c>
    </row>
    <row r="530" spans="1:6" x14ac:dyDescent="0.25">
      <c r="A530">
        <v>2019</v>
      </c>
      <c r="B530" t="s">
        <v>51</v>
      </c>
      <c r="C530" t="s">
        <v>1</v>
      </c>
      <c r="D530" s="1">
        <v>10069</v>
      </c>
      <c r="E530" s="1">
        <v>93619</v>
      </c>
      <c r="F530" s="2">
        <v>56141</v>
      </c>
    </row>
    <row r="531" spans="1:6" x14ac:dyDescent="0.25">
      <c r="A531">
        <v>2019</v>
      </c>
      <c r="B531" t="s">
        <v>51</v>
      </c>
      <c r="C531" t="s">
        <v>2</v>
      </c>
      <c r="D531" s="1">
        <v>13677</v>
      </c>
      <c r="E531" s="1">
        <v>171309</v>
      </c>
      <c r="F531" s="2">
        <v>58621</v>
      </c>
    </row>
    <row r="532" spans="1:6" x14ac:dyDescent="0.25">
      <c r="A532">
        <v>2019</v>
      </c>
      <c r="B532" t="s">
        <v>51</v>
      </c>
      <c r="C532" t="s">
        <v>3</v>
      </c>
      <c r="D532" s="1">
        <v>7093</v>
      </c>
      <c r="E532" s="1">
        <v>52538</v>
      </c>
      <c r="F532" s="2">
        <v>49541</v>
      </c>
    </row>
    <row r="533" spans="1:6" x14ac:dyDescent="0.25">
      <c r="A533">
        <v>2019</v>
      </c>
      <c r="B533" t="s">
        <v>51</v>
      </c>
      <c r="C533" t="s">
        <v>4</v>
      </c>
      <c r="D533" s="1">
        <v>84247</v>
      </c>
      <c r="E533" s="1">
        <v>885668</v>
      </c>
      <c r="F533" s="2">
        <v>73343</v>
      </c>
    </row>
    <row r="534" spans="1:6" x14ac:dyDescent="0.25">
      <c r="A534">
        <v>2019</v>
      </c>
      <c r="B534" t="s">
        <v>51</v>
      </c>
      <c r="C534" t="s">
        <v>5</v>
      </c>
      <c r="D534" s="1">
        <v>20430</v>
      </c>
      <c r="E534" s="1">
        <v>178880</v>
      </c>
      <c r="F534" s="2">
        <v>64603</v>
      </c>
    </row>
    <row r="535" spans="1:6" x14ac:dyDescent="0.25">
      <c r="A535">
        <v>2019</v>
      </c>
      <c r="B535" t="s">
        <v>51</v>
      </c>
      <c r="C535" t="s">
        <v>6</v>
      </c>
      <c r="D535" s="1">
        <v>9496</v>
      </c>
      <c r="E535" s="1">
        <v>59731</v>
      </c>
      <c r="F535" s="2">
        <v>72413</v>
      </c>
    </row>
    <row r="536" spans="1:6" x14ac:dyDescent="0.25">
      <c r="A536">
        <v>2019</v>
      </c>
      <c r="B536" t="s">
        <v>51</v>
      </c>
      <c r="C536" t="s">
        <v>7</v>
      </c>
      <c r="D536" s="1">
        <v>3007</v>
      </c>
      <c r="E536" s="1">
        <v>22909</v>
      </c>
      <c r="F536" s="2">
        <v>62481</v>
      </c>
    </row>
    <row r="537" spans="1:6" x14ac:dyDescent="0.25">
      <c r="A537">
        <v>2019</v>
      </c>
      <c r="B537" t="s">
        <v>51</v>
      </c>
      <c r="C537" t="s">
        <v>8</v>
      </c>
      <c r="D537" s="1">
        <v>74711</v>
      </c>
      <c r="E537" s="1">
        <v>563526</v>
      </c>
      <c r="F537" s="2">
        <v>52893</v>
      </c>
    </row>
    <row r="538" spans="1:6" x14ac:dyDescent="0.25">
      <c r="A538">
        <v>2019</v>
      </c>
      <c r="B538" t="s">
        <v>51</v>
      </c>
      <c r="C538" t="s">
        <v>9</v>
      </c>
      <c r="D538" s="1">
        <v>21408</v>
      </c>
      <c r="E538" s="1">
        <v>203951</v>
      </c>
      <c r="F538" s="2">
        <v>63683</v>
      </c>
    </row>
    <row r="539" spans="1:6" x14ac:dyDescent="0.25">
      <c r="A539">
        <v>2019</v>
      </c>
      <c r="B539" t="s">
        <v>51</v>
      </c>
      <c r="C539" t="s">
        <v>10</v>
      </c>
      <c r="D539" s="1">
        <v>8175</v>
      </c>
      <c r="E539" s="1">
        <v>50684</v>
      </c>
      <c r="F539" s="2">
        <v>46258</v>
      </c>
    </row>
    <row r="540" spans="1:6" x14ac:dyDescent="0.25">
      <c r="A540">
        <v>2019</v>
      </c>
      <c r="B540" t="s">
        <v>51</v>
      </c>
      <c r="C540" t="s">
        <v>11</v>
      </c>
      <c r="D540" s="1">
        <v>32686</v>
      </c>
      <c r="E540" s="1">
        <v>227968</v>
      </c>
      <c r="F540" s="2">
        <v>73799</v>
      </c>
    </row>
    <row r="541" spans="1:6" x14ac:dyDescent="0.25">
      <c r="A541">
        <v>2019</v>
      </c>
      <c r="B541" t="s">
        <v>51</v>
      </c>
      <c r="C541" t="s">
        <v>12</v>
      </c>
      <c r="D541" s="1">
        <v>15232</v>
      </c>
      <c r="E541" s="1">
        <v>145851</v>
      </c>
      <c r="F541" s="2">
        <v>60057</v>
      </c>
    </row>
    <row r="542" spans="1:6" x14ac:dyDescent="0.25">
      <c r="A542">
        <v>2019</v>
      </c>
      <c r="B542" t="s">
        <v>51</v>
      </c>
      <c r="C542" t="s">
        <v>13</v>
      </c>
      <c r="D542" s="1">
        <v>9462</v>
      </c>
      <c r="E542" s="1">
        <v>78134</v>
      </c>
      <c r="F542" s="2">
        <v>58962</v>
      </c>
    </row>
    <row r="543" spans="1:6" x14ac:dyDescent="0.25">
      <c r="A543">
        <v>2019</v>
      </c>
      <c r="B543" t="s">
        <v>51</v>
      </c>
      <c r="C543" t="s">
        <v>14</v>
      </c>
      <c r="D543" s="1">
        <v>7399</v>
      </c>
      <c r="E543" s="1">
        <v>63735</v>
      </c>
      <c r="F543" s="2">
        <v>57030</v>
      </c>
    </row>
    <row r="544" spans="1:6" x14ac:dyDescent="0.25">
      <c r="A544">
        <v>2019</v>
      </c>
      <c r="B544" t="s">
        <v>51</v>
      </c>
      <c r="C544" t="s">
        <v>15</v>
      </c>
      <c r="D544" s="1">
        <v>9517</v>
      </c>
      <c r="E544" s="1">
        <v>80463</v>
      </c>
      <c r="F544" s="2">
        <v>55601</v>
      </c>
    </row>
    <row r="545" spans="1:6" x14ac:dyDescent="0.25">
      <c r="A545">
        <v>2019</v>
      </c>
      <c r="B545" t="s">
        <v>51</v>
      </c>
      <c r="C545" t="s">
        <v>16</v>
      </c>
      <c r="D545" s="1">
        <v>10991</v>
      </c>
      <c r="E545" s="1">
        <v>142033</v>
      </c>
      <c r="F545" s="2">
        <v>64940</v>
      </c>
    </row>
    <row r="546" spans="1:6" x14ac:dyDescent="0.25">
      <c r="A546">
        <v>2019</v>
      </c>
      <c r="B546" t="s">
        <v>51</v>
      </c>
      <c r="C546" t="s">
        <v>17</v>
      </c>
      <c r="D546" s="1">
        <v>5605</v>
      </c>
      <c r="E546" s="1">
        <v>29987</v>
      </c>
      <c r="F546" s="2">
        <v>51654</v>
      </c>
    </row>
    <row r="547" spans="1:6" x14ac:dyDescent="0.25">
      <c r="A547">
        <v>2019</v>
      </c>
      <c r="B547" t="s">
        <v>51</v>
      </c>
      <c r="C547" t="s">
        <v>18</v>
      </c>
      <c r="D547" s="1">
        <v>16694</v>
      </c>
      <c r="E547" s="1">
        <v>166132</v>
      </c>
      <c r="F547" s="2">
        <v>67799</v>
      </c>
    </row>
    <row r="548" spans="1:6" x14ac:dyDescent="0.25">
      <c r="A548">
        <v>2019</v>
      </c>
      <c r="B548" t="s">
        <v>51</v>
      </c>
      <c r="C548" t="s">
        <v>19</v>
      </c>
      <c r="D548" s="1">
        <v>21309</v>
      </c>
      <c r="E548" s="1">
        <v>163062</v>
      </c>
      <c r="F548" s="2">
        <v>81436</v>
      </c>
    </row>
    <row r="549" spans="1:6" x14ac:dyDescent="0.25">
      <c r="A549">
        <v>2019</v>
      </c>
      <c r="B549" t="s">
        <v>51</v>
      </c>
      <c r="C549" t="s">
        <v>20</v>
      </c>
      <c r="D549" s="1">
        <v>21106</v>
      </c>
      <c r="E549" s="1">
        <v>173015</v>
      </c>
      <c r="F549" s="2">
        <v>63588</v>
      </c>
    </row>
    <row r="550" spans="1:6" x14ac:dyDescent="0.25">
      <c r="A550">
        <v>2019</v>
      </c>
      <c r="B550" t="s">
        <v>51</v>
      </c>
      <c r="C550" t="s">
        <v>21</v>
      </c>
      <c r="D550" s="1">
        <v>16700</v>
      </c>
      <c r="E550" s="1">
        <v>127092</v>
      </c>
      <c r="F550" s="2">
        <v>69734</v>
      </c>
    </row>
    <row r="551" spans="1:6" x14ac:dyDescent="0.25">
      <c r="A551">
        <v>2019</v>
      </c>
      <c r="B551" t="s">
        <v>51</v>
      </c>
      <c r="C551" t="s">
        <v>22</v>
      </c>
      <c r="D551" s="1">
        <v>5771</v>
      </c>
      <c r="E551" s="1">
        <v>44543</v>
      </c>
      <c r="F551" s="2">
        <v>50925</v>
      </c>
    </row>
    <row r="552" spans="1:6" x14ac:dyDescent="0.25">
      <c r="A552">
        <v>2019</v>
      </c>
      <c r="B552" t="s">
        <v>51</v>
      </c>
      <c r="C552" t="s">
        <v>23</v>
      </c>
      <c r="D552" s="1">
        <v>15133</v>
      </c>
      <c r="E552" s="1">
        <v>126641</v>
      </c>
      <c r="F552" s="2">
        <v>61762</v>
      </c>
    </row>
    <row r="553" spans="1:6" x14ac:dyDescent="0.25">
      <c r="A553">
        <v>2019</v>
      </c>
      <c r="B553" t="s">
        <v>51</v>
      </c>
      <c r="C553" t="s">
        <v>24</v>
      </c>
      <c r="D553" s="1">
        <v>6432</v>
      </c>
      <c r="E553" s="1">
        <v>29914</v>
      </c>
      <c r="F553" s="2">
        <v>53962</v>
      </c>
    </row>
    <row r="554" spans="1:6" x14ac:dyDescent="0.25">
      <c r="A554">
        <v>2019</v>
      </c>
      <c r="B554" t="s">
        <v>51</v>
      </c>
      <c r="C554" t="s">
        <v>25</v>
      </c>
      <c r="D554" s="1">
        <v>7038</v>
      </c>
      <c r="E554" s="1">
        <v>53732</v>
      </c>
      <c r="F554" s="2">
        <v>53794</v>
      </c>
    </row>
    <row r="555" spans="1:6" x14ac:dyDescent="0.25">
      <c r="A555">
        <v>2019</v>
      </c>
      <c r="B555" t="s">
        <v>51</v>
      </c>
      <c r="C555" t="s">
        <v>26</v>
      </c>
      <c r="D555" s="1">
        <v>5852</v>
      </c>
      <c r="E555" s="1">
        <v>95939</v>
      </c>
      <c r="F555" s="2">
        <v>64365</v>
      </c>
    </row>
    <row r="556" spans="1:6" x14ac:dyDescent="0.25">
      <c r="A556">
        <v>2019</v>
      </c>
      <c r="B556" t="s">
        <v>51</v>
      </c>
      <c r="C556" t="s">
        <v>27</v>
      </c>
      <c r="D556" s="1">
        <v>4692</v>
      </c>
      <c r="E556" s="1">
        <v>27825</v>
      </c>
      <c r="F556" s="2">
        <v>64868</v>
      </c>
    </row>
    <row r="557" spans="1:6" x14ac:dyDescent="0.25">
      <c r="A557">
        <v>2019</v>
      </c>
      <c r="B557" t="s">
        <v>51</v>
      </c>
      <c r="C557" t="s">
        <v>28</v>
      </c>
      <c r="D557" s="1">
        <v>22556</v>
      </c>
      <c r="E557" s="1">
        <v>159462</v>
      </c>
      <c r="F557" s="2">
        <v>74644</v>
      </c>
    </row>
    <row r="558" spans="1:6" x14ac:dyDescent="0.25">
      <c r="A558">
        <v>2019</v>
      </c>
      <c r="B558" t="s">
        <v>51</v>
      </c>
      <c r="C558" t="s">
        <v>29</v>
      </c>
      <c r="D558" s="1">
        <v>5571</v>
      </c>
      <c r="E558" s="1">
        <v>50153</v>
      </c>
      <c r="F558" s="2">
        <v>52091</v>
      </c>
    </row>
    <row r="559" spans="1:6" x14ac:dyDescent="0.25">
      <c r="A559">
        <v>2019</v>
      </c>
      <c r="B559" t="s">
        <v>51</v>
      </c>
      <c r="C559" t="s">
        <v>30</v>
      </c>
      <c r="D559" s="1">
        <v>50432</v>
      </c>
      <c r="E559" s="1">
        <v>405650</v>
      </c>
      <c r="F559" s="2">
        <v>75570</v>
      </c>
    </row>
    <row r="560" spans="1:6" x14ac:dyDescent="0.25">
      <c r="A560">
        <v>2019</v>
      </c>
      <c r="B560" t="s">
        <v>51</v>
      </c>
      <c r="C560" t="s">
        <v>31</v>
      </c>
      <c r="D560" s="1">
        <v>27974</v>
      </c>
      <c r="E560" s="1">
        <v>231739</v>
      </c>
      <c r="F560" s="2">
        <v>56974</v>
      </c>
    </row>
    <row r="561" spans="1:6" x14ac:dyDescent="0.25">
      <c r="A561">
        <v>2019</v>
      </c>
      <c r="B561" t="s">
        <v>51</v>
      </c>
      <c r="C561" t="s">
        <v>32</v>
      </c>
      <c r="D561" s="1">
        <v>3692</v>
      </c>
      <c r="E561" s="1">
        <v>27961</v>
      </c>
      <c r="F561" s="2">
        <v>68153</v>
      </c>
    </row>
    <row r="562" spans="1:6" x14ac:dyDescent="0.25">
      <c r="A562">
        <v>2019</v>
      </c>
      <c r="B562" t="s">
        <v>51</v>
      </c>
      <c r="C562" t="s">
        <v>33</v>
      </c>
      <c r="D562" s="1">
        <v>23405</v>
      </c>
      <c r="E562" s="1">
        <v>226563</v>
      </c>
      <c r="F562" s="2">
        <v>62383</v>
      </c>
    </row>
    <row r="563" spans="1:6" x14ac:dyDescent="0.25">
      <c r="A563">
        <v>2019</v>
      </c>
      <c r="B563" t="s">
        <v>51</v>
      </c>
      <c r="C563" t="s">
        <v>34</v>
      </c>
      <c r="D563" s="1">
        <v>9801</v>
      </c>
      <c r="E563" s="1">
        <v>82834</v>
      </c>
      <c r="F563" s="2">
        <v>54435</v>
      </c>
    </row>
    <row r="564" spans="1:6" x14ac:dyDescent="0.25">
      <c r="A564">
        <v>2019</v>
      </c>
      <c r="B564" t="s">
        <v>51</v>
      </c>
      <c r="C564" t="s">
        <v>35</v>
      </c>
      <c r="D564" s="1">
        <v>14626</v>
      </c>
      <c r="E564" s="1">
        <v>108871</v>
      </c>
      <c r="F564" s="2">
        <v>63148</v>
      </c>
    </row>
    <row r="565" spans="1:6" x14ac:dyDescent="0.25">
      <c r="A565">
        <v>2019</v>
      </c>
      <c r="B565" t="s">
        <v>51</v>
      </c>
      <c r="C565" t="s">
        <v>36</v>
      </c>
      <c r="D565" s="1">
        <v>29139</v>
      </c>
      <c r="E565" s="1">
        <v>260895</v>
      </c>
      <c r="F565" s="2">
        <v>68612</v>
      </c>
    </row>
    <row r="566" spans="1:6" x14ac:dyDescent="0.25">
      <c r="A566">
        <v>2019</v>
      </c>
      <c r="B566" t="s">
        <v>51</v>
      </c>
      <c r="C566" t="s">
        <v>37</v>
      </c>
      <c r="D566" s="1">
        <v>3833</v>
      </c>
      <c r="E566" s="1">
        <v>19980</v>
      </c>
      <c r="F566" s="2">
        <v>63414</v>
      </c>
    </row>
    <row r="567" spans="1:6" x14ac:dyDescent="0.25">
      <c r="A567">
        <v>2019</v>
      </c>
      <c r="B567" t="s">
        <v>51</v>
      </c>
      <c r="C567" t="s">
        <v>38</v>
      </c>
      <c r="D567" s="1">
        <v>12956</v>
      </c>
      <c r="E567" s="1">
        <v>107028</v>
      </c>
      <c r="F567" s="2">
        <v>55230</v>
      </c>
    </row>
    <row r="568" spans="1:6" x14ac:dyDescent="0.25">
      <c r="A568">
        <v>2019</v>
      </c>
      <c r="B568" t="s">
        <v>51</v>
      </c>
      <c r="C568" t="s">
        <v>39</v>
      </c>
      <c r="D568" s="1">
        <v>3897</v>
      </c>
      <c r="E568" s="1">
        <v>23609</v>
      </c>
      <c r="F568" s="2">
        <v>50997</v>
      </c>
    </row>
    <row r="569" spans="1:6" x14ac:dyDescent="0.25">
      <c r="A569">
        <v>2019</v>
      </c>
      <c r="B569" t="s">
        <v>51</v>
      </c>
      <c r="C569" t="s">
        <v>40</v>
      </c>
      <c r="D569" s="1">
        <v>12487</v>
      </c>
      <c r="E569" s="1">
        <v>130126</v>
      </c>
      <c r="F569" s="2">
        <v>58777</v>
      </c>
    </row>
    <row r="570" spans="1:6" x14ac:dyDescent="0.25">
      <c r="A570">
        <v>2019</v>
      </c>
      <c r="B570" t="s">
        <v>51</v>
      </c>
      <c r="C570" t="s">
        <v>41</v>
      </c>
      <c r="D570" s="1">
        <v>53248</v>
      </c>
      <c r="E570" s="1">
        <v>774190</v>
      </c>
      <c r="F570" s="2">
        <v>67564</v>
      </c>
    </row>
    <row r="571" spans="1:6" x14ac:dyDescent="0.25">
      <c r="A571">
        <v>2019</v>
      </c>
      <c r="B571" t="s">
        <v>51</v>
      </c>
      <c r="C571" t="s">
        <v>42</v>
      </c>
      <c r="D571" s="1">
        <v>12212</v>
      </c>
      <c r="E571" s="1">
        <v>109486</v>
      </c>
      <c r="F571" s="2">
        <v>53428</v>
      </c>
    </row>
    <row r="572" spans="1:6" x14ac:dyDescent="0.25">
      <c r="A572">
        <v>2019</v>
      </c>
      <c r="B572" t="s">
        <v>51</v>
      </c>
      <c r="C572" t="s">
        <v>43</v>
      </c>
      <c r="D572" s="1">
        <v>2846</v>
      </c>
      <c r="E572" s="1">
        <v>15283</v>
      </c>
      <c r="F572" s="2">
        <v>52585</v>
      </c>
    </row>
    <row r="573" spans="1:6" x14ac:dyDescent="0.25">
      <c r="A573">
        <v>2019</v>
      </c>
      <c r="B573" t="s">
        <v>51</v>
      </c>
      <c r="C573" t="s">
        <v>44</v>
      </c>
      <c r="D573" s="1">
        <v>21468</v>
      </c>
      <c r="E573" s="1">
        <v>202134</v>
      </c>
      <c r="F573" s="2">
        <v>60504</v>
      </c>
    </row>
    <row r="574" spans="1:6" x14ac:dyDescent="0.25">
      <c r="A574">
        <v>2019</v>
      </c>
      <c r="B574" t="s">
        <v>51</v>
      </c>
      <c r="C574" t="s">
        <v>45</v>
      </c>
      <c r="D574" s="1">
        <v>26472</v>
      </c>
      <c r="E574" s="1">
        <v>205717</v>
      </c>
      <c r="F574" s="2">
        <v>67833</v>
      </c>
    </row>
    <row r="575" spans="1:6" x14ac:dyDescent="0.25">
      <c r="A575">
        <v>2019</v>
      </c>
      <c r="B575" t="s">
        <v>51</v>
      </c>
      <c r="C575" t="s">
        <v>46</v>
      </c>
      <c r="D575" s="1">
        <v>4338</v>
      </c>
      <c r="E575" s="1">
        <v>35459</v>
      </c>
      <c r="F575" s="2">
        <v>64460</v>
      </c>
    </row>
    <row r="576" spans="1:6" x14ac:dyDescent="0.25">
      <c r="A576">
        <v>2019</v>
      </c>
      <c r="B576" t="s">
        <v>51</v>
      </c>
      <c r="C576" t="s">
        <v>47</v>
      </c>
      <c r="D576" s="1">
        <v>14823</v>
      </c>
      <c r="E576" s="1">
        <v>124384</v>
      </c>
      <c r="F576" s="2">
        <v>63874</v>
      </c>
    </row>
    <row r="577" spans="1:6" x14ac:dyDescent="0.25">
      <c r="A577">
        <v>2019</v>
      </c>
      <c r="B577" t="s">
        <v>51</v>
      </c>
      <c r="C577" t="s">
        <v>48</v>
      </c>
      <c r="D577" s="1">
        <v>3427</v>
      </c>
      <c r="E577" s="1">
        <v>22875</v>
      </c>
      <c r="F577" s="2">
        <v>57417</v>
      </c>
    </row>
    <row r="578" spans="1:6" x14ac:dyDescent="0.25">
      <c r="A578">
        <v>2019</v>
      </c>
      <c r="B578" t="s">
        <v>52</v>
      </c>
      <c r="C578" t="s">
        <v>1</v>
      </c>
      <c r="D578" s="1">
        <v>5677</v>
      </c>
      <c r="E578" s="1">
        <v>268948</v>
      </c>
      <c r="F578" s="2">
        <v>58532</v>
      </c>
    </row>
    <row r="579" spans="1:6" x14ac:dyDescent="0.25">
      <c r="A579">
        <v>2019</v>
      </c>
      <c r="B579" t="s">
        <v>52</v>
      </c>
      <c r="C579" t="s">
        <v>2</v>
      </c>
      <c r="D579" s="1">
        <v>5157</v>
      </c>
      <c r="E579" s="1">
        <v>177610</v>
      </c>
      <c r="F579" s="2">
        <v>78966</v>
      </c>
    </row>
    <row r="580" spans="1:6" x14ac:dyDescent="0.25">
      <c r="A580">
        <v>2019</v>
      </c>
      <c r="B580" t="s">
        <v>52</v>
      </c>
      <c r="C580" t="s">
        <v>3</v>
      </c>
      <c r="D580" s="1">
        <v>2930</v>
      </c>
      <c r="E580" s="1">
        <v>162214</v>
      </c>
      <c r="F580" s="2">
        <v>49202</v>
      </c>
    </row>
    <row r="581" spans="1:6" x14ac:dyDescent="0.25">
      <c r="A581">
        <v>2019</v>
      </c>
      <c r="B581" t="s">
        <v>52</v>
      </c>
      <c r="C581" t="s">
        <v>4</v>
      </c>
      <c r="D581" s="1">
        <v>44539</v>
      </c>
      <c r="E581" s="1">
        <v>1322455</v>
      </c>
      <c r="F581" s="2">
        <v>98222</v>
      </c>
    </row>
    <row r="582" spans="1:6" x14ac:dyDescent="0.25">
      <c r="A582">
        <v>2019</v>
      </c>
      <c r="B582" t="s">
        <v>52</v>
      </c>
      <c r="C582" t="s">
        <v>5</v>
      </c>
      <c r="D582" s="1">
        <v>5849</v>
      </c>
      <c r="E582" s="1">
        <v>150109</v>
      </c>
      <c r="F582" s="2">
        <v>73935</v>
      </c>
    </row>
    <row r="583" spans="1:6" x14ac:dyDescent="0.25">
      <c r="A583">
        <v>2019</v>
      </c>
      <c r="B583" t="s">
        <v>52</v>
      </c>
      <c r="C583" t="s">
        <v>6</v>
      </c>
      <c r="D583" s="1">
        <v>4405</v>
      </c>
      <c r="E583" s="1">
        <v>161899</v>
      </c>
      <c r="F583" s="2">
        <v>85024</v>
      </c>
    </row>
    <row r="584" spans="1:6" x14ac:dyDescent="0.25">
      <c r="A584">
        <v>2019</v>
      </c>
      <c r="B584" t="s">
        <v>52</v>
      </c>
      <c r="C584" t="s">
        <v>7</v>
      </c>
      <c r="D584">
        <v>663</v>
      </c>
      <c r="E584" s="1">
        <v>27298</v>
      </c>
      <c r="F584" s="2">
        <v>66194</v>
      </c>
    </row>
    <row r="585" spans="1:6" x14ac:dyDescent="0.25">
      <c r="A585">
        <v>2019</v>
      </c>
      <c r="B585" t="s">
        <v>52</v>
      </c>
      <c r="C585" t="s">
        <v>8</v>
      </c>
      <c r="D585" s="1">
        <v>20799</v>
      </c>
      <c r="E585" s="1">
        <v>383956</v>
      </c>
      <c r="F585" s="2">
        <v>63877</v>
      </c>
    </row>
    <row r="586" spans="1:6" x14ac:dyDescent="0.25">
      <c r="A586">
        <v>2019</v>
      </c>
      <c r="B586" t="s">
        <v>52</v>
      </c>
      <c r="C586" t="s">
        <v>9</v>
      </c>
      <c r="D586" s="1">
        <v>10066</v>
      </c>
      <c r="E586" s="1">
        <v>404085</v>
      </c>
      <c r="F586" s="2">
        <v>58246</v>
      </c>
    </row>
    <row r="587" spans="1:6" x14ac:dyDescent="0.25">
      <c r="A587">
        <v>2019</v>
      </c>
      <c r="B587" t="s">
        <v>52</v>
      </c>
      <c r="C587" t="s">
        <v>10</v>
      </c>
      <c r="D587" s="1">
        <v>2680</v>
      </c>
      <c r="E587" s="1">
        <v>68404</v>
      </c>
      <c r="F587" s="2">
        <v>62480</v>
      </c>
    </row>
    <row r="588" spans="1:6" x14ac:dyDescent="0.25">
      <c r="A588">
        <v>2019</v>
      </c>
      <c r="B588" t="s">
        <v>52</v>
      </c>
      <c r="C588" t="s">
        <v>11</v>
      </c>
      <c r="D588" s="1">
        <v>18066</v>
      </c>
      <c r="E588" s="1">
        <v>585894</v>
      </c>
      <c r="F588" s="2">
        <v>72819</v>
      </c>
    </row>
    <row r="589" spans="1:6" x14ac:dyDescent="0.25">
      <c r="A589">
        <v>2019</v>
      </c>
      <c r="B589" t="s">
        <v>52</v>
      </c>
      <c r="C589" t="s">
        <v>12</v>
      </c>
      <c r="D589" s="1">
        <v>9083</v>
      </c>
      <c r="E589" s="1">
        <v>541099</v>
      </c>
      <c r="F589" s="2">
        <v>63320</v>
      </c>
    </row>
    <row r="590" spans="1:6" x14ac:dyDescent="0.25">
      <c r="A590">
        <v>2019</v>
      </c>
      <c r="B590" t="s">
        <v>52</v>
      </c>
      <c r="C590" t="s">
        <v>13</v>
      </c>
      <c r="D590" s="1">
        <v>4132</v>
      </c>
      <c r="E590" s="1">
        <v>226152</v>
      </c>
      <c r="F590" s="2">
        <v>60185</v>
      </c>
    </row>
    <row r="591" spans="1:6" x14ac:dyDescent="0.25">
      <c r="A591">
        <v>2019</v>
      </c>
      <c r="B591" t="s">
        <v>52</v>
      </c>
      <c r="C591" t="s">
        <v>14</v>
      </c>
      <c r="D591" s="1">
        <v>3105</v>
      </c>
      <c r="E591" s="1">
        <v>167196</v>
      </c>
      <c r="F591" s="2">
        <v>59652</v>
      </c>
    </row>
    <row r="592" spans="1:6" x14ac:dyDescent="0.25">
      <c r="A592">
        <v>2019</v>
      </c>
      <c r="B592" t="s">
        <v>52</v>
      </c>
      <c r="C592" t="s">
        <v>15</v>
      </c>
      <c r="D592" s="1">
        <v>4583</v>
      </c>
      <c r="E592" s="1">
        <v>252626</v>
      </c>
      <c r="F592" s="2">
        <v>61167</v>
      </c>
    </row>
    <row r="593" spans="1:6" x14ac:dyDescent="0.25">
      <c r="A593">
        <v>2019</v>
      </c>
      <c r="B593" t="s">
        <v>52</v>
      </c>
      <c r="C593" t="s">
        <v>16</v>
      </c>
      <c r="D593" s="1">
        <v>4453</v>
      </c>
      <c r="E593" s="1">
        <v>137729</v>
      </c>
      <c r="F593" s="2">
        <v>77600</v>
      </c>
    </row>
    <row r="594" spans="1:6" x14ac:dyDescent="0.25">
      <c r="A594">
        <v>2019</v>
      </c>
      <c r="B594" t="s">
        <v>52</v>
      </c>
      <c r="C594" t="s">
        <v>17</v>
      </c>
      <c r="D594" s="1">
        <v>1870</v>
      </c>
      <c r="E594" s="1">
        <v>53047</v>
      </c>
      <c r="F594" s="2">
        <v>57227</v>
      </c>
    </row>
    <row r="595" spans="1:6" x14ac:dyDescent="0.25">
      <c r="A595">
        <v>2019</v>
      </c>
      <c r="B595" t="s">
        <v>52</v>
      </c>
      <c r="C595" t="s">
        <v>18</v>
      </c>
      <c r="D595" s="1">
        <v>4145</v>
      </c>
      <c r="E595" s="1">
        <v>112273</v>
      </c>
      <c r="F595" s="2">
        <v>79016</v>
      </c>
    </row>
    <row r="596" spans="1:6" x14ac:dyDescent="0.25">
      <c r="A596">
        <v>2019</v>
      </c>
      <c r="B596" t="s">
        <v>52</v>
      </c>
      <c r="C596" t="s">
        <v>19</v>
      </c>
      <c r="D596" s="1">
        <v>6682</v>
      </c>
      <c r="E596" s="1">
        <v>244258</v>
      </c>
      <c r="F596" s="2">
        <v>89698</v>
      </c>
    </row>
    <row r="597" spans="1:6" x14ac:dyDescent="0.25">
      <c r="A597">
        <v>2019</v>
      </c>
      <c r="B597" t="s">
        <v>52</v>
      </c>
      <c r="C597" t="s">
        <v>20</v>
      </c>
      <c r="D597" s="1">
        <v>16948</v>
      </c>
      <c r="E597" s="1">
        <v>625676</v>
      </c>
      <c r="F597" s="2">
        <v>68465</v>
      </c>
    </row>
    <row r="598" spans="1:6" x14ac:dyDescent="0.25">
      <c r="A598">
        <v>2019</v>
      </c>
      <c r="B598" t="s">
        <v>52</v>
      </c>
      <c r="C598" t="s">
        <v>21</v>
      </c>
      <c r="D598" s="1">
        <v>8265</v>
      </c>
      <c r="E598" s="1">
        <v>324018</v>
      </c>
      <c r="F598" s="2">
        <v>68082</v>
      </c>
    </row>
    <row r="599" spans="1:6" x14ac:dyDescent="0.25">
      <c r="A599">
        <v>2019</v>
      </c>
      <c r="B599" t="s">
        <v>52</v>
      </c>
      <c r="C599" t="s">
        <v>22</v>
      </c>
      <c r="D599" s="1">
        <v>2396</v>
      </c>
      <c r="E599" s="1">
        <v>146775</v>
      </c>
      <c r="F599" s="2">
        <v>50065</v>
      </c>
    </row>
    <row r="600" spans="1:6" x14ac:dyDescent="0.25">
      <c r="A600">
        <v>2019</v>
      </c>
      <c r="B600" t="s">
        <v>52</v>
      </c>
      <c r="C600" t="s">
        <v>23</v>
      </c>
      <c r="D600" s="1">
        <v>6681</v>
      </c>
      <c r="E600" s="1">
        <v>277104</v>
      </c>
      <c r="F600" s="2">
        <v>59758</v>
      </c>
    </row>
    <row r="601" spans="1:6" x14ac:dyDescent="0.25">
      <c r="A601">
        <v>2019</v>
      </c>
      <c r="B601" t="s">
        <v>52</v>
      </c>
      <c r="C601" t="s">
        <v>24</v>
      </c>
      <c r="D601" s="1">
        <v>1625</v>
      </c>
      <c r="E601" s="1">
        <v>20972</v>
      </c>
      <c r="F601" s="2">
        <v>51666</v>
      </c>
    </row>
    <row r="602" spans="1:6" x14ac:dyDescent="0.25">
      <c r="A602">
        <v>2019</v>
      </c>
      <c r="B602" t="s">
        <v>52</v>
      </c>
      <c r="C602" t="s">
        <v>25</v>
      </c>
      <c r="D602" s="1">
        <v>1974</v>
      </c>
      <c r="E602" s="1">
        <v>99914</v>
      </c>
      <c r="F602" s="2">
        <v>52716</v>
      </c>
    </row>
    <row r="603" spans="1:6" x14ac:dyDescent="0.25">
      <c r="A603">
        <v>2019</v>
      </c>
      <c r="B603" t="s">
        <v>52</v>
      </c>
      <c r="C603" t="s">
        <v>26</v>
      </c>
      <c r="D603" s="1">
        <v>2069</v>
      </c>
      <c r="E603" s="1">
        <v>59279</v>
      </c>
      <c r="F603" s="2">
        <v>59498</v>
      </c>
    </row>
    <row r="604" spans="1:6" x14ac:dyDescent="0.25">
      <c r="A604">
        <v>2019</v>
      </c>
      <c r="B604" t="s">
        <v>52</v>
      </c>
      <c r="C604" t="s">
        <v>27</v>
      </c>
      <c r="D604" s="1">
        <v>2012</v>
      </c>
      <c r="E604" s="1">
        <v>71459</v>
      </c>
      <c r="F604" s="2">
        <v>73007</v>
      </c>
    </row>
    <row r="605" spans="1:6" x14ac:dyDescent="0.25">
      <c r="A605">
        <v>2019</v>
      </c>
      <c r="B605" t="s">
        <v>52</v>
      </c>
      <c r="C605" t="s">
        <v>28</v>
      </c>
      <c r="D605" s="1">
        <v>8994</v>
      </c>
      <c r="E605" s="1">
        <v>249464</v>
      </c>
      <c r="F605" s="2">
        <v>81649</v>
      </c>
    </row>
    <row r="606" spans="1:6" x14ac:dyDescent="0.25">
      <c r="A606">
        <v>2019</v>
      </c>
      <c r="B606" t="s">
        <v>52</v>
      </c>
      <c r="C606" t="s">
        <v>29</v>
      </c>
      <c r="D606" s="1">
        <v>1810</v>
      </c>
      <c r="E606" s="1">
        <v>28514</v>
      </c>
      <c r="F606" s="2">
        <v>55737</v>
      </c>
    </row>
    <row r="607" spans="1:6" x14ac:dyDescent="0.25">
      <c r="A607">
        <v>2019</v>
      </c>
      <c r="B607" t="s">
        <v>52</v>
      </c>
      <c r="C607" t="s">
        <v>30</v>
      </c>
      <c r="D607" s="1">
        <v>16457</v>
      </c>
      <c r="E607" s="1">
        <v>437040</v>
      </c>
      <c r="F607" s="2">
        <v>69154</v>
      </c>
    </row>
    <row r="608" spans="1:6" x14ac:dyDescent="0.25">
      <c r="A608">
        <v>2019</v>
      </c>
      <c r="B608" t="s">
        <v>52</v>
      </c>
      <c r="C608" t="s">
        <v>31</v>
      </c>
      <c r="D608" s="1">
        <v>10247</v>
      </c>
      <c r="E608" s="1">
        <v>477086</v>
      </c>
      <c r="F608" s="2">
        <v>61095</v>
      </c>
    </row>
    <row r="609" spans="1:6" x14ac:dyDescent="0.25">
      <c r="A609">
        <v>2019</v>
      </c>
      <c r="B609" t="s">
        <v>52</v>
      </c>
      <c r="C609" t="s">
        <v>32</v>
      </c>
      <c r="D609">
        <v>808</v>
      </c>
      <c r="E609" s="1">
        <v>26471</v>
      </c>
      <c r="F609" s="2">
        <v>55179</v>
      </c>
    </row>
    <row r="610" spans="1:6" x14ac:dyDescent="0.25">
      <c r="A610">
        <v>2019</v>
      </c>
      <c r="B610" t="s">
        <v>52</v>
      </c>
      <c r="C610" t="s">
        <v>33</v>
      </c>
      <c r="D610" s="1">
        <v>15486</v>
      </c>
      <c r="E610" s="1">
        <v>700786</v>
      </c>
      <c r="F610" s="2">
        <v>62878</v>
      </c>
    </row>
    <row r="611" spans="1:6" x14ac:dyDescent="0.25">
      <c r="A611">
        <v>2019</v>
      </c>
      <c r="B611" t="s">
        <v>52</v>
      </c>
      <c r="C611" t="s">
        <v>34</v>
      </c>
      <c r="D611" s="1">
        <v>4213</v>
      </c>
      <c r="E611" s="1">
        <v>140812</v>
      </c>
      <c r="F611" s="2">
        <v>59951</v>
      </c>
    </row>
    <row r="612" spans="1:6" x14ac:dyDescent="0.25">
      <c r="A612">
        <v>2019</v>
      </c>
      <c r="B612" t="s">
        <v>52</v>
      </c>
      <c r="C612" t="s">
        <v>35</v>
      </c>
      <c r="D612" s="1">
        <v>6396</v>
      </c>
      <c r="E612" s="1">
        <v>197626</v>
      </c>
      <c r="F612" s="2">
        <v>71436</v>
      </c>
    </row>
    <row r="613" spans="1:6" x14ac:dyDescent="0.25">
      <c r="A613">
        <v>2019</v>
      </c>
      <c r="B613" t="s">
        <v>52</v>
      </c>
      <c r="C613" t="s">
        <v>36</v>
      </c>
      <c r="D613" s="1">
        <v>14432</v>
      </c>
      <c r="E613" s="1">
        <v>574751</v>
      </c>
      <c r="F613" s="2">
        <v>64231</v>
      </c>
    </row>
    <row r="614" spans="1:6" x14ac:dyDescent="0.25">
      <c r="A614">
        <v>2019</v>
      </c>
      <c r="B614" t="s">
        <v>52</v>
      </c>
      <c r="C614" t="s">
        <v>37</v>
      </c>
      <c r="D614" s="1">
        <v>1636</v>
      </c>
      <c r="E614" s="1">
        <v>39736</v>
      </c>
      <c r="F614" s="2">
        <v>60286</v>
      </c>
    </row>
    <row r="615" spans="1:6" x14ac:dyDescent="0.25">
      <c r="A615">
        <v>2019</v>
      </c>
      <c r="B615" t="s">
        <v>52</v>
      </c>
      <c r="C615" t="s">
        <v>38</v>
      </c>
      <c r="D615" s="1">
        <v>6414</v>
      </c>
      <c r="E615" s="1">
        <v>258252</v>
      </c>
      <c r="F615" s="2">
        <v>60850</v>
      </c>
    </row>
    <row r="616" spans="1:6" x14ac:dyDescent="0.25">
      <c r="A616">
        <v>2019</v>
      </c>
      <c r="B616" t="s">
        <v>52</v>
      </c>
      <c r="C616" t="s">
        <v>39</v>
      </c>
      <c r="D616" s="1">
        <v>1067</v>
      </c>
      <c r="E616" s="1">
        <v>44972</v>
      </c>
      <c r="F616" s="2">
        <v>50219</v>
      </c>
    </row>
    <row r="617" spans="1:6" x14ac:dyDescent="0.25">
      <c r="A617">
        <v>2019</v>
      </c>
      <c r="B617" t="s">
        <v>52</v>
      </c>
      <c r="C617" t="s">
        <v>40</v>
      </c>
      <c r="D617" s="1">
        <v>7272</v>
      </c>
      <c r="E617" s="1">
        <v>354961</v>
      </c>
      <c r="F617" s="2">
        <v>60305</v>
      </c>
    </row>
    <row r="618" spans="1:6" x14ac:dyDescent="0.25">
      <c r="A618">
        <v>2019</v>
      </c>
      <c r="B618" t="s">
        <v>52</v>
      </c>
      <c r="C618" t="s">
        <v>41</v>
      </c>
      <c r="D618" s="1">
        <v>25577</v>
      </c>
      <c r="E618" s="1">
        <v>905953</v>
      </c>
      <c r="F618" s="2">
        <v>79766</v>
      </c>
    </row>
    <row r="619" spans="1:6" x14ac:dyDescent="0.25">
      <c r="A619">
        <v>2019</v>
      </c>
      <c r="B619" t="s">
        <v>52</v>
      </c>
      <c r="C619" t="s">
        <v>42</v>
      </c>
      <c r="D619" s="1">
        <v>4547</v>
      </c>
      <c r="E619" s="1">
        <v>136085</v>
      </c>
      <c r="F619" s="2">
        <v>59426</v>
      </c>
    </row>
    <row r="620" spans="1:6" x14ac:dyDescent="0.25">
      <c r="A620">
        <v>2019</v>
      </c>
      <c r="B620" t="s">
        <v>52</v>
      </c>
      <c r="C620" t="s">
        <v>43</v>
      </c>
      <c r="D620" s="1">
        <v>1108</v>
      </c>
      <c r="E620" s="1">
        <v>30091</v>
      </c>
      <c r="F620" s="2">
        <v>60807</v>
      </c>
    </row>
    <row r="621" spans="1:6" x14ac:dyDescent="0.25">
      <c r="A621">
        <v>2019</v>
      </c>
      <c r="B621" t="s">
        <v>52</v>
      </c>
      <c r="C621" t="s">
        <v>44</v>
      </c>
      <c r="D621" s="1">
        <v>6864</v>
      </c>
      <c r="E621" s="1">
        <v>242160</v>
      </c>
      <c r="F621" s="2">
        <v>61341</v>
      </c>
    </row>
    <row r="622" spans="1:6" x14ac:dyDescent="0.25">
      <c r="A622">
        <v>2019</v>
      </c>
      <c r="B622" t="s">
        <v>52</v>
      </c>
      <c r="C622" t="s">
        <v>45</v>
      </c>
      <c r="D622" s="1">
        <v>7824</v>
      </c>
      <c r="E622" s="1">
        <v>290326</v>
      </c>
      <c r="F622" s="2">
        <v>81228</v>
      </c>
    </row>
    <row r="623" spans="1:6" x14ac:dyDescent="0.25">
      <c r="A623">
        <v>2019</v>
      </c>
      <c r="B623" t="s">
        <v>52</v>
      </c>
      <c r="C623" t="s">
        <v>46</v>
      </c>
      <c r="D623" s="1">
        <v>1251</v>
      </c>
      <c r="E623" s="1">
        <v>46979</v>
      </c>
      <c r="F623" s="2">
        <v>61074</v>
      </c>
    </row>
    <row r="624" spans="1:6" x14ac:dyDescent="0.25">
      <c r="A624">
        <v>2019</v>
      </c>
      <c r="B624" t="s">
        <v>52</v>
      </c>
      <c r="C624" t="s">
        <v>47</v>
      </c>
      <c r="D624" s="1">
        <v>9333</v>
      </c>
      <c r="E624" s="1">
        <v>483196</v>
      </c>
      <c r="F624" s="2">
        <v>59083</v>
      </c>
    </row>
    <row r="625" spans="1:6" x14ac:dyDescent="0.25">
      <c r="A625">
        <v>2019</v>
      </c>
      <c r="B625" t="s">
        <v>52</v>
      </c>
      <c r="C625" t="s">
        <v>48</v>
      </c>
      <c r="D625">
        <v>615</v>
      </c>
      <c r="E625" s="1">
        <v>10043</v>
      </c>
      <c r="F625" s="2">
        <v>68738</v>
      </c>
    </row>
    <row r="626" spans="1:6" x14ac:dyDescent="0.25">
      <c r="A626">
        <v>2019</v>
      </c>
      <c r="B626" t="s">
        <v>54</v>
      </c>
      <c r="C626" t="s">
        <v>1</v>
      </c>
      <c r="D626" s="1">
        <v>32423</v>
      </c>
      <c r="E626" s="1">
        <v>380193</v>
      </c>
      <c r="F626" s="2">
        <v>43426</v>
      </c>
    </row>
    <row r="627" spans="1:6" x14ac:dyDescent="0.25">
      <c r="A627">
        <v>2019</v>
      </c>
      <c r="B627" t="s">
        <v>54</v>
      </c>
      <c r="C627" t="s">
        <v>2</v>
      </c>
      <c r="D627" s="1">
        <v>33190</v>
      </c>
      <c r="E627" s="1">
        <v>541793</v>
      </c>
      <c r="F627" s="2">
        <v>48023</v>
      </c>
    </row>
    <row r="628" spans="1:6" x14ac:dyDescent="0.25">
      <c r="A628">
        <v>2019</v>
      </c>
      <c r="B628" t="s">
        <v>54</v>
      </c>
      <c r="C628" t="s">
        <v>3</v>
      </c>
      <c r="D628" s="1">
        <v>21821</v>
      </c>
      <c r="E628" s="1">
        <v>248631</v>
      </c>
      <c r="F628" s="2">
        <v>42897</v>
      </c>
    </row>
    <row r="629" spans="1:6" x14ac:dyDescent="0.25">
      <c r="A629">
        <v>2019</v>
      </c>
      <c r="B629" t="s">
        <v>54</v>
      </c>
      <c r="C629" t="s">
        <v>4</v>
      </c>
      <c r="D629" s="1">
        <v>198955</v>
      </c>
      <c r="E629" s="1">
        <v>3042089</v>
      </c>
      <c r="F629" s="2">
        <v>54908</v>
      </c>
    </row>
    <row r="630" spans="1:6" x14ac:dyDescent="0.25">
      <c r="A630">
        <v>2019</v>
      </c>
      <c r="B630" t="s">
        <v>54</v>
      </c>
      <c r="C630" t="s">
        <v>5</v>
      </c>
      <c r="D630" s="1">
        <v>36041</v>
      </c>
      <c r="E630" s="1">
        <v>474011</v>
      </c>
      <c r="F630" s="2">
        <v>52675</v>
      </c>
    </row>
    <row r="631" spans="1:6" x14ac:dyDescent="0.25">
      <c r="A631">
        <v>2019</v>
      </c>
      <c r="B631" t="s">
        <v>54</v>
      </c>
      <c r="C631" t="s">
        <v>6</v>
      </c>
      <c r="D631" s="1">
        <v>24868</v>
      </c>
      <c r="E631" s="1">
        <v>291966</v>
      </c>
      <c r="F631" s="2">
        <v>52540</v>
      </c>
    </row>
    <row r="632" spans="1:6" x14ac:dyDescent="0.25">
      <c r="A632">
        <v>2019</v>
      </c>
      <c r="B632" t="s">
        <v>54</v>
      </c>
      <c r="C632" t="s">
        <v>7</v>
      </c>
      <c r="D632" s="1">
        <v>7005</v>
      </c>
      <c r="E632" s="1">
        <v>79487</v>
      </c>
      <c r="F632" s="2">
        <v>42440</v>
      </c>
    </row>
    <row r="633" spans="1:6" x14ac:dyDescent="0.25">
      <c r="A633">
        <v>2019</v>
      </c>
      <c r="B633" t="s">
        <v>54</v>
      </c>
      <c r="C633" t="s">
        <v>8</v>
      </c>
      <c r="D633" s="1">
        <v>140278</v>
      </c>
      <c r="E633" s="1">
        <v>1799930</v>
      </c>
      <c r="F633" s="2">
        <v>46232</v>
      </c>
    </row>
    <row r="634" spans="1:6" x14ac:dyDescent="0.25">
      <c r="A634">
        <v>2019</v>
      </c>
      <c r="B634" t="s">
        <v>54</v>
      </c>
      <c r="C634" t="s">
        <v>9</v>
      </c>
      <c r="D634" s="1">
        <v>61774</v>
      </c>
      <c r="E634" s="1">
        <v>938063</v>
      </c>
      <c r="F634" s="2">
        <v>49817</v>
      </c>
    </row>
    <row r="635" spans="1:6" x14ac:dyDescent="0.25">
      <c r="A635">
        <v>2019</v>
      </c>
      <c r="B635" t="s">
        <v>54</v>
      </c>
      <c r="C635" t="s">
        <v>10</v>
      </c>
      <c r="D635" s="1">
        <v>11892</v>
      </c>
      <c r="E635" s="1">
        <v>142186</v>
      </c>
      <c r="F635" s="2">
        <v>41533</v>
      </c>
    </row>
    <row r="636" spans="1:6" x14ac:dyDescent="0.25">
      <c r="A636">
        <v>2019</v>
      </c>
      <c r="B636" t="s">
        <v>54</v>
      </c>
      <c r="C636" t="s">
        <v>11</v>
      </c>
      <c r="D636" s="1">
        <v>78822</v>
      </c>
      <c r="E636" s="1">
        <v>1187941</v>
      </c>
      <c r="F636" s="2">
        <v>53573</v>
      </c>
    </row>
    <row r="637" spans="1:6" x14ac:dyDescent="0.25">
      <c r="A637">
        <v>2019</v>
      </c>
      <c r="B637" t="s">
        <v>54</v>
      </c>
      <c r="C637" t="s">
        <v>12</v>
      </c>
      <c r="D637" s="1">
        <v>40283</v>
      </c>
      <c r="E637" s="1">
        <v>594348</v>
      </c>
      <c r="F637" s="2">
        <v>43345</v>
      </c>
    </row>
    <row r="638" spans="1:6" x14ac:dyDescent="0.25">
      <c r="A638">
        <v>2019</v>
      </c>
      <c r="B638" t="s">
        <v>54</v>
      </c>
      <c r="C638" t="s">
        <v>13</v>
      </c>
      <c r="D638" s="1">
        <v>23557</v>
      </c>
      <c r="E638" s="1">
        <v>307822</v>
      </c>
      <c r="F638" s="2">
        <v>41407</v>
      </c>
    </row>
    <row r="639" spans="1:6" x14ac:dyDescent="0.25">
      <c r="A639">
        <v>2019</v>
      </c>
      <c r="B639" t="s">
        <v>54</v>
      </c>
      <c r="C639" t="s">
        <v>14</v>
      </c>
      <c r="D639" s="1">
        <v>19844</v>
      </c>
      <c r="E639" s="1">
        <v>262383</v>
      </c>
      <c r="F639" s="2">
        <v>43539</v>
      </c>
    </row>
    <row r="640" spans="1:6" x14ac:dyDescent="0.25">
      <c r="A640">
        <v>2019</v>
      </c>
      <c r="B640" t="s">
        <v>54</v>
      </c>
      <c r="C640" t="s">
        <v>15</v>
      </c>
      <c r="D640" s="1">
        <v>27892</v>
      </c>
      <c r="E640" s="1">
        <v>401804</v>
      </c>
      <c r="F640" s="2">
        <v>44163</v>
      </c>
    </row>
    <row r="641" spans="1:6" x14ac:dyDescent="0.25">
      <c r="A641">
        <v>2019</v>
      </c>
      <c r="B641" t="s">
        <v>54</v>
      </c>
      <c r="C641" t="s">
        <v>16</v>
      </c>
      <c r="D641" s="1">
        <v>30876</v>
      </c>
      <c r="E641" s="1">
        <v>376026</v>
      </c>
      <c r="F641" s="2">
        <v>43579</v>
      </c>
    </row>
    <row r="642" spans="1:6" x14ac:dyDescent="0.25">
      <c r="A642">
        <v>2019</v>
      </c>
      <c r="B642" t="s">
        <v>54</v>
      </c>
      <c r="C642" t="s">
        <v>17</v>
      </c>
      <c r="D642" s="1">
        <v>10676</v>
      </c>
      <c r="E642" s="1">
        <v>117746</v>
      </c>
      <c r="F642" s="2">
        <v>39115</v>
      </c>
    </row>
    <row r="643" spans="1:6" x14ac:dyDescent="0.25">
      <c r="A643">
        <v>2019</v>
      </c>
      <c r="B643" t="s">
        <v>54</v>
      </c>
      <c r="C643" t="s">
        <v>18</v>
      </c>
      <c r="D643" s="1">
        <v>32640</v>
      </c>
      <c r="E643" s="1">
        <v>463647</v>
      </c>
      <c r="F643" s="2">
        <v>47503</v>
      </c>
    </row>
    <row r="644" spans="1:6" x14ac:dyDescent="0.25">
      <c r="A644">
        <v>2019</v>
      </c>
      <c r="B644" t="s">
        <v>54</v>
      </c>
      <c r="C644" t="s">
        <v>19</v>
      </c>
      <c r="D644" s="1">
        <v>41620</v>
      </c>
      <c r="E644" s="1">
        <v>577282</v>
      </c>
      <c r="F644" s="2">
        <v>55423</v>
      </c>
    </row>
    <row r="645" spans="1:6" x14ac:dyDescent="0.25">
      <c r="A645">
        <v>2019</v>
      </c>
      <c r="B645" t="s">
        <v>54</v>
      </c>
      <c r="C645" t="s">
        <v>20</v>
      </c>
      <c r="D645" s="1">
        <v>55150</v>
      </c>
      <c r="E645" s="1">
        <v>791177</v>
      </c>
      <c r="F645" s="2">
        <v>48357</v>
      </c>
    </row>
    <row r="646" spans="1:6" x14ac:dyDescent="0.25">
      <c r="A646">
        <v>2019</v>
      </c>
      <c r="B646" t="s">
        <v>54</v>
      </c>
      <c r="C646" t="s">
        <v>21</v>
      </c>
      <c r="D646" s="1">
        <v>37323</v>
      </c>
      <c r="E646" s="1">
        <v>525857</v>
      </c>
      <c r="F646" s="2">
        <v>50523</v>
      </c>
    </row>
    <row r="647" spans="1:6" x14ac:dyDescent="0.25">
      <c r="A647">
        <v>2019</v>
      </c>
      <c r="B647" t="s">
        <v>54</v>
      </c>
      <c r="C647" t="s">
        <v>22</v>
      </c>
      <c r="D647" s="1">
        <v>19568</v>
      </c>
      <c r="E647" s="1">
        <v>229039</v>
      </c>
      <c r="F647" s="2">
        <v>37621</v>
      </c>
    </row>
    <row r="648" spans="1:6" x14ac:dyDescent="0.25">
      <c r="A648">
        <v>2019</v>
      </c>
      <c r="B648" t="s">
        <v>54</v>
      </c>
      <c r="C648" t="s">
        <v>23</v>
      </c>
      <c r="D648" s="1">
        <v>39400</v>
      </c>
      <c r="E648" s="1">
        <v>536753</v>
      </c>
      <c r="F648" s="2">
        <v>43646</v>
      </c>
    </row>
    <row r="649" spans="1:6" x14ac:dyDescent="0.25">
      <c r="A649">
        <v>2019</v>
      </c>
      <c r="B649" t="s">
        <v>54</v>
      </c>
      <c r="C649" t="s">
        <v>24</v>
      </c>
      <c r="D649" s="1">
        <v>9112</v>
      </c>
      <c r="E649" s="1">
        <v>90946</v>
      </c>
      <c r="F649" s="2">
        <v>40937</v>
      </c>
    </row>
    <row r="650" spans="1:6" x14ac:dyDescent="0.25">
      <c r="A650">
        <v>2019</v>
      </c>
      <c r="B650" t="s">
        <v>54</v>
      </c>
      <c r="C650" t="s">
        <v>25</v>
      </c>
      <c r="D650" s="1">
        <v>14969</v>
      </c>
      <c r="E650" s="1">
        <v>188094</v>
      </c>
      <c r="F650" s="2">
        <v>41557</v>
      </c>
    </row>
    <row r="651" spans="1:6" x14ac:dyDescent="0.25">
      <c r="A651">
        <v>2019</v>
      </c>
      <c r="B651" t="s">
        <v>54</v>
      </c>
      <c r="C651" t="s">
        <v>26</v>
      </c>
      <c r="D651" s="1">
        <v>15866</v>
      </c>
      <c r="E651" s="1">
        <v>261018</v>
      </c>
      <c r="F651" s="2">
        <v>45452</v>
      </c>
    </row>
    <row r="652" spans="1:6" x14ac:dyDescent="0.25">
      <c r="A652">
        <v>2019</v>
      </c>
      <c r="B652" t="s">
        <v>54</v>
      </c>
      <c r="C652" t="s">
        <v>27</v>
      </c>
      <c r="D652" s="1">
        <v>12448</v>
      </c>
      <c r="E652" s="1">
        <v>139278</v>
      </c>
      <c r="F652" s="2">
        <v>49409</v>
      </c>
    </row>
    <row r="653" spans="1:6" x14ac:dyDescent="0.25">
      <c r="A653">
        <v>2019</v>
      </c>
      <c r="B653" t="s">
        <v>54</v>
      </c>
      <c r="C653" t="s">
        <v>28</v>
      </c>
      <c r="D653" s="1">
        <v>54227</v>
      </c>
      <c r="E653" s="1">
        <v>876452</v>
      </c>
      <c r="F653" s="2">
        <v>55204</v>
      </c>
    </row>
    <row r="654" spans="1:6" x14ac:dyDescent="0.25">
      <c r="A654">
        <v>2019</v>
      </c>
      <c r="B654" t="s">
        <v>54</v>
      </c>
      <c r="C654" t="s">
        <v>29</v>
      </c>
      <c r="D654" s="1">
        <v>10974</v>
      </c>
      <c r="E654" s="1">
        <v>135131</v>
      </c>
      <c r="F654" s="2">
        <v>39275</v>
      </c>
    </row>
    <row r="655" spans="1:6" x14ac:dyDescent="0.25">
      <c r="A655">
        <v>2019</v>
      </c>
      <c r="B655" t="s">
        <v>54</v>
      </c>
      <c r="C655" t="s">
        <v>30</v>
      </c>
      <c r="D655" s="1">
        <v>120950</v>
      </c>
      <c r="E655" s="1">
        <v>1543991</v>
      </c>
      <c r="F655" s="2">
        <v>53710</v>
      </c>
    </row>
    <row r="656" spans="1:6" x14ac:dyDescent="0.25">
      <c r="A656">
        <v>2019</v>
      </c>
      <c r="B656" t="s">
        <v>54</v>
      </c>
      <c r="C656" t="s">
        <v>31</v>
      </c>
      <c r="D656" s="1">
        <v>62397</v>
      </c>
      <c r="E656" s="1">
        <v>846177</v>
      </c>
      <c r="F656" s="2">
        <v>44579</v>
      </c>
    </row>
    <row r="657" spans="1:6" x14ac:dyDescent="0.25">
      <c r="A657">
        <v>2019</v>
      </c>
      <c r="B657" t="s">
        <v>54</v>
      </c>
      <c r="C657" t="s">
        <v>32</v>
      </c>
      <c r="D657" s="1">
        <v>7738</v>
      </c>
      <c r="E657" s="1">
        <v>91333</v>
      </c>
      <c r="F657" s="2">
        <v>51925</v>
      </c>
    </row>
    <row r="658" spans="1:6" x14ac:dyDescent="0.25">
      <c r="A658">
        <v>2019</v>
      </c>
      <c r="B658" t="s">
        <v>54</v>
      </c>
      <c r="C658" t="s">
        <v>33</v>
      </c>
      <c r="D658" s="1">
        <v>68958</v>
      </c>
      <c r="E658" s="1">
        <v>1021890</v>
      </c>
      <c r="F658" s="2">
        <v>45569</v>
      </c>
    </row>
    <row r="659" spans="1:6" x14ac:dyDescent="0.25">
      <c r="A659">
        <v>2019</v>
      </c>
      <c r="B659" t="s">
        <v>54</v>
      </c>
      <c r="C659" t="s">
        <v>34</v>
      </c>
      <c r="D659" s="1">
        <v>23883</v>
      </c>
      <c r="E659" s="1">
        <v>300268</v>
      </c>
      <c r="F659" s="2">
        <v>43049</v>
      </c>
    </row>
    <row r="660" spans="1:6" x14ac:dyDescent="0.25">
      <c r="A660">
        <v>2019</v>
      </c>
      <c r="B660" t="s">
        <v>54</v>
      </c>
      <c r="C660" t="s">
        <v>35</v>
      </c>
      <c r="D660" s="1">
        <v>26460</v>
      </c>
      <c r="E660" s="1">
        <v>354168</v>
      </c>
      <c r="F660" s="2">
        <v>45879</v>
      </c>
    </row>
    <row r="661" spans="1:6" x14ac:dyDescent="0.25">
      <c r="A661">
        <v>2019</v>
      </c>
      <c r="B661" t="s">
        <v>54</v>
      </c>
      <c r="C661" t="s">
        <v>36</v>
      </c>
      <c r="D661" s="1">
        <v>74684</v>
      </c>
      <c r="E661" s="1">
        <v>1117033</v>
      </c>
      <c r="F661" s="2">
        <v>46296</v>
      </c>
    </row>
    <row r="662" spans="1:6" x14ac:dyDescent="0.25">
      <c r="A662">
        <v>2019</v>
      </c>
      <c r="B662" t="s">
        <v>54</v>
      </c>
      <c r="C662" t="s">
        <v>37</v>
      </c>
      <c r="D662" s="1">
        <v>7648</v>
      </c>
      <c r="E662" s="1">
        <v>76672</v>
      </c>
      <c r="F662" s="2">
        <v>45232</v>
      </c>
    </row>
    <row r="663" spans="1:6" x14ac:dyDescent="0.25">
      <c r="A663">
        <v>2019</v>
      </c>
      <c r="B663" t="s">
        <v>54</v>
      </c>
      <c r="C663" t="s">
        <v>38</v>
      </c>
      <c r="D663" s="1">
        <v>31073</v>
      </c>
      <c r="E663" s="1">
        <v>406455</v>
      </c>
      <c r="F663" s="2">
        <v>41048</v>
      </c>
    </row>
    <row r="664" spans="1:6" x14ac:dyDescent="0.25">
      <c r="A664">
        <v>2019</v>
      </c>
      <c r="B664" t="s">
        <v>54</v>
      </c>
      <c r="C664" t="s">
        <v>39</v>
      </c>
      <c r="D664" s="1">
        <v>8027</v>
      </c>
      <c r="E664" s="1">
        <v>85125</v>
      </c>
      <c r="F664" s="2">
        <v>40980</v>
      </c>
    </row>
    <row r="665" spans="1:6" x14ac:dyDescent="0.25">
      <c r="A665">
        <v>2019</v>
      </c>
      <c r="B665" t="s">
        <v>54</v>
      </c>
      <c r="C665" t="s">
        <v>40</v>
      </c>
      <c r="D665" s="1">
        <v>40380</v>
      </c>
      <c r="E665" s="1">
        <v>633819</v>
      </c>
      <c r="F665" s="2">
        <v>46991</v>
      </c>
    </row>
    <row r="666" spans="1:6" x14ac:dyDescent="0.25">
      <c r="A666">
        <v>2019</v>
      </c>
      <c r="B666" t="s">
        <v>54</v>
      </c>
      <c r="C666" t="s">
        <v>41</v>
      </c>
      <c r="D666" s="1">
        <v>150310</v>
      </c>
      <c r="E666" s="1">
        <v>2496193</v>
      </c>
      <c r="F666" s="2">
        <v>54323</v>
      </c>
    </row>
    <row r="667" spans="1:6" x14ac:dyDescent="0.25">
      <c r="A667">
        <v>2019</v>
      </c>
      <c r="B667" t="s">
        <v>54</v>
      </c>
      <c r="C667" t="s">
        <v>42</v>
      </c>
      <c r="D667" s="1">
        <v>20066</v>
      </c>
      <c r="E667" s="1">
        <v>289140</v>
      </c>
      <c r="F667" s="2">
        <v>45785</v>
      </c>
    </row>
    <row r="668" spans="1:6" x14ac:dyDescent="0.25">
      <c r="A668">
        <v>2019</v>
      </c>
      <c r="B668" t="s">
        <v>54</v>
      </c>
      <c r="C668" t="s">
        <v>43</v>
      </c>
      <c r="D668" s="1">
        <v>5040</v>
      </c>
      <c r="E668" s="1">
        <v>53817</v>
      </c>
      <c r="F668" s="2">
        <v>41456</v>
      </c>
    </row>
    <row r="669" spans="1:6" x14ac:dyDescent="0.25">
      <c r="A669">
        <v>2019</v>
      </c>
      <c r="B669" t="s">
        <v>54</v>
      </c>
      <c r="C669" t="s">
        <v>44</v>
      </c>
      <c r="D669" s="1">
        <v>42839</v>
      </c>
      <c r="E669" s="1">
        <v>650148</v>
      </c>
      <c r="F669" s="2">
        <v>45486</v>
      </c>
    </row>
    <row r="670" spans="1:6" x14ac:dyDescent="0.25">
      <c r="A670">
        <v>2019</v>
      </c>
      <c r="B670" t="s">
        <v>54</v>
      </c>
      <c r="C670" t="s">
        <v>45</v>
      </c>
      <c r="D670" s="1">
        <v>38692</v>
      </c>
      <c r="E670" s="1">
        <v>628543</v>
      </c>
      <c r="F670" s="2">
        <v>67312</v>
      </c>
    </row>
    <row r="671" spans="1:6" x14ac:dyDescent="0.25">
      <c r="A671">
        <v>2019</v>
      </c>
      <c r="B671" t="s">
        <v>54</v>
      </c>
      <c r="C671" t="s">
        <v>46</v>
      </c>
      <c r="D671" s="1">
        <v>10709</v>
      </c>
      <c r="E671" s="1">
        <v>125470</v>
      </c>
      <c r="F671" s="2">
        <v>40148</v>
      </c>
    </row>
    <row r="672" spans="1:6" x14ac:dyDescent="0.25">
      <c r="A672">
        <v>2019</v>
      </c>
      <c r="B672" t="s">
        <v>54</v>
      </c>
      <c r="C672" t="s">
        <v>47</v>
      </c>
      <c r="D672" s="1">
        <v>36253</v>
      </c>
      <c r="E672" s="1">
        <v>533175</v>
      </c>
      <c r="F672" s="2">
        <v>42647</v>
      </c>
    </row>
    <row r="673" spans="1:6" x14ac:dyDescent="0.25">
      <c r="A673">
        <v>2019</v>
      </c>
      <c r="B673" t="s">
        <v>54</v>
      </c>
      <c r="C673" t="s">
        <v>48</v>
      </c>
      <c r="D673" s="1">
        <v>4819</v>
      </c>
      <c r="E673" s="1">
        <v>49901</v>
      </c>
      <c r="F673" s="2">
        <v>44408</v>
      </c>
    </row>
    <row r="674" spans="1:6" x14ac:dyDescent="0.25">
      <c r="A674">
        <v>2019</v>
      </c>
      <c r="B674" t="s">
        <v>53</v>
      </c>
      <c r="C674" t="s">
        <v>1</v>
      </c>
      <c r="D674" s="1">
        <v>2309</v>
      </c>
      <c r="E674" s="1">
        <v>21296</v>
      </c>
      <c r="F674" s="2">
        <v>62845</v>
      </c>
    </row>
    <row r="675" spans="1:6" x14ac:dyDescent="0.25">
      <c r="A675">
        <v>2019</v>
      </c>
      <c r="B675" t="s">
        <v>53</v>
      </c>
      <c r="C675" t="s">
        <v>2</v>
      </c>
      <c r="D675" s="1">
        <v>3691</v>
      </c>
      <c r="E675" s="1">
        <v>49188</v>
      </c>
      <c r="F675" s="2">
        <v>77822</v>
      </c>
    </row>
    <row r="676" spans="1:6" x14ac:dyDescent="0.25">
      <c r="A676">
        <v>2019</v>
      </c>
      <c r="B676" t="s">
        <v>53</v>
      </c>
      <c r="C676" t="s">
        <v>3</v>
      </c>
      <c r="D676" s="1">
        <v>1303</v>
      </c>
      <c r="E676" s="1">
        <v>10974</v>
      </c>
      <c r="F676" s="2">
        <v>57981</v>
      </c>
    </row>
    <row r="677" spans="1:6" x14ac:dyDescent="0.25">
      <c r="A677">
        <v>2019</v>
      </c>
      <c r="B677" t="s">
        <v>53</v>
      </c>
      <c r="C677" t="s">
        <v>4</v>
      </c>
      <c r="D677" s="1">
        <v>28529</v>
      </c>
      <c r="E677" s="1">
        <v>550084</v>
      </c>
      <c r="F677" s="2">
        <v>191278</v>
      </c>
    </row>
    <row r="678" spans="1:6" x14ac:dyDescent="0.25">
      <c r="A678">
        <v>2019</v>
      </c>
      <c r="B678" t="s">
        <v>53</v>
      </c>
      <c r="C678" t="s">
        <v>5</v>
      </c>
      <c r="D678" s="1">
        <v>4330</v>
      </c>
      <c r="E678" s="1">
        <v>76292</v>
      </c>
      <c r="F678" s="2">
        <v>109380</v>
      </c>
    </row>
    <row r="679" spans="1:6" x14ac:dyDescent="0.25">
      <c r="A679">
        <v>2019</v>
      </c>
      <c r="B679" t="s">
        <v>53</v>
      </c>
      <c r="C679" t="s">
        <v>6</v>
      </c>
      <c r="D679" s="1">
        <v>2551</v>
      </c>
      <c r="E679" s="1">
        <v>31469</v>
      </c>
      <c r="F679" s="2">
        <v>120406</v>
      </c>
    </row>
    <row r="680" spans="1:6" x14ac:dyDescent="0.25">
      <c r="A680">
        <v>2019</v>
      </c>
      <c r="B680" t="s">
        <v>53</v>
      </c>
      <c r="C680" t="s">
        <v>7</v>
      </c>
      <c r="D680">
        <v>497</v>
      </c>
      <c r="E680" s="1">
        <v>3905</v>
      </c>
      <c r="F680" s="2">
        <v>70031</v>
      </c>
    </row>
    <row r="681" spans="1:6" x14ac:dyDescent="0.25">
      <c r="A681">
        <v>2019</v>
      </c>
      <c r="B681" t="s">
        <v>53</v>
      </c>
      <c r="C681" t="s">
        <v>8</v>
      </c>
      <c r="D681" s="1">
        <v>11744</v>
      </c>
      <c r="E681" s="1">
        <v>138845</v>
      </c>
      <c r="F681" s="2">
        <v>86153</v>
      </c>
    </row>
    <row r="682" spans="1:6" x14ac:dyDescent="0.25">
      <c r="A682">
        <v>2019</v>
      </c>
      <c r="B682" t="s">
        <v>53</v>
      </c>
      <c r="C682" t="s">
        <v>9</v>
      </c>
      <c r="D682" s="1">
        <v>5380</v>
      </c>
      <c r="E682" s="1">
        <v>116215</v>
      </c>
      <c r="F682" s="2">
        <v>100462</v>
      </c>
    </row>
    <row r="683" spans="1:6" x14ac:dyDescent="0.25">
      <c r="A683">
        <v>2019</v>
      </c>
      <c r="B683" t="s">
        <v>53</v>
      </c>
      <c r="C683" t="s">
        <v>10</v>
      </c>
      <c r="D683" s="1">
        <v>1231</v>
      </c>
      <c r="E683" s="1">
        <v>8802</v>
      </c>
      <c r="F683" s="2">
        <v>56211</v>
      </c>
    </row>
    <row r="684" spans="1:6" x14ac:dyDescent="0.25">
      <c r="A684">
        <v>2019</v>
      </c>
      <c r="B684" t="s">
        <v>53</v>
      </c>
      <c r="C684" t="s">
        <v>11</v>
      </c>
      <c r="D684" s="1">
        <v>6998</v>
      </c>
      <c r="E684" s="1">
        <v>94879</v>
      </c>
      <c r="F684" s="2">
        <v>96732</v>
      </c>
    </row>
    <row r="685" spans="1:6" x14ac:dyDescent="0.25">
      <c r="A685">
        <v>2019</v>
      </c>
      <c r="B685" t="s">
        <v>53</v>
      </c>
      <c r="C685" t="s">
        <v>12</v>
      </c>
      <c r="D685" s="1">
        <v>2278</v>
      </c>
      <c r="E685" s="1">
        <v>28628</v>
      </c>
      <c r="F685" s="2">
        <v>62444</v>
      </c>
    </row>
    <row r="686" spans="1:6" x14ac:dyDescent="0.25">
      <c r="A686">
        <v>2019</v>
      </c>
      <c r="B686" t="s">
        <v>53</v>
      </c>
      <c r="C686" t="s">
        <v>13</v>
      </c>
      <c r="D686" s="1">
        <v>1778</v>
      </c>
      <c r="E686" s="1">
        <v>21356</v>
      </c>
      <c r="F686" s="2">
        <v>60664</v>
      </c>
    </row>
    <row r="687" spans="1:6" x14ac:dyDescent="0.25">
      <c r="A687">
        <v>2019</v>
      </c>
      <c r="B687" t="s">
        <v>53</v>
      </c>
      <c r="C687" t="s">
        <v>14</v>
      </c>
      <c r="D687" s="1">
        <v>1386</v>
      </c>
      <c r="E687" s="1">
        <v>18137</v>
      </c>
      <c r="F687" s="2">
        <v>66434</v>
      </c>
    </row>
    <row r="688" spans="1:6" x14ac:dyDescent="0.25">
      <c r="A688">
        <v>2019</v>
      </c>
      <c r="B688" t="s">
        <v>53</v>
      </c>
      <c r="C688" t="s">
        <v>15</v>
      </c>
      <c r="D688" s="1">
        <v>1924</v>
      </c>
      <c r="E688" s="1">
        <v>21670</v>
      </c>
      <c r="F688" s="2">
        <v>58590</v>
      </c>
    </row>
    <row r="689" spans="1:6" x14ac:dyDescent="0.25">
      <c r="A689">
        <v>2019</v>
      </c>
      <c r="B689" t="s">
        <v>53</v>
      </c>
      <c r="C689" t="s">
        <v>16</v>
      </c>
      <c r="D689" s="1">
        <v>1801</v>
      </c>
      <c r="E689" s="1">
        <v>22427</v>
      </c>
      <c r="F689" s="2">
        <v>60638</v>
      </c>
    </row>
    <row r="690" spans="1:6" x14ac:dyDescent="0.25">
      <c r="A690">
        <v>2019</v>
      </c>
      <c r="B690" t="s">
        <v>53</v>
      </c>
      <c r="C690" t="s">
        <v>17</v>
      </c>
      <c r="D690">
        <v>869</v>
      </c>
      <c r="E690" s="1">
        <v>7158</v>
      </c>
      <c r="F690" s="2">
        <v>57442</v>
      </c>
    </row>
    <row r="691" spans="1:6" x14ac:dyDescent="0.25">
      <c r="A691">
        <v>2019</v>
      </c>
      <c r="B691" t="s">
        <v>53</v>
      </c>
      <c r="C691" t="s">
        <v>18</v>
      </c>
      <c r="D691" s="1">
        <v>2846</v>
      </c>
      <c r="E691" s="1">
        <v>35678</v>
      </c>
      <c r="F691" s="2">
        <v>98834</v>
      </c>
    </row>
    <row r="692" spans="1:6" x14ac:dyDescent="0.25">
      <c r="A692">
        <v>2019</v>
      </c>
      <c r="B692" t="s">
        <v>53</v>
      </c>
      <c r="C692" t="s">
        <v>19</v>
      </c>
      <c r="D692" s="1">
        <v>5717</v>
      </c>
      <c r="E692" s="1">
        <v>93033</v>
      </c>
      <c r="F692" s="2">
        <v>128022</v>
      </c>
    </row>
    <row r="693" spans="1:6" x14ac:dyDescent="0.25">
      <c r="A693">
        <v>2019</v>
      </c>
      <c r="B693" t="s">
        <v>53</v>
      </c>
      <c r="C693" t="s">
        <v>20</v>
      </c>
      <c r="D693" s="1">
        <v>7146</v>
      </c>
      <c r="E693" s="1">
        <v>55298</v>
      </c>
      <c r="F693" s="2">
        <v>77504</v>
      </c>
    </row>
    <row r="694" spans="1:6" x14ac:dyDescent="0.25">
      <c r="A694">
        <v>2019</v>
      </c>
      <c r="B694" t="s">
        <v>53</v>
      </c>
      <c r="C694" t="s">
        <v>21</v>
      </c>
      <c r="D694" s="1">
        <v>4133</v>
      </c>
      <c r="E694" s="1">
        <v>46906</v>
      </c>
      <c r="F694" s="2">
        <v>83846</v>
      </c>
    </row>
    <row r="695" spans="1:6" x14ac:dyDescent="0.25">
      <c r="A695">
        <v>2019</v>
      </c>
      <c r="B695" t="s">
        <v>53</v>
      </c>
      <c r="C695" t="s">
        <v>22</v>
      </c>
      <c r="D695">
        <v>944</v>
      </c>
      <c r="E695" s="1">
        <v>10695</v>
      </c>
      <c r="F695" s="2">
        <v>49438</v>
      </c>
    </row>
    <row r="696" spans="1:6" x14ac:dyDescent="0.25">
      <c r="A696">
        <v>2019</v>
      </c>
      <c r="B696" t="s">
        <v>53</v>
      </c>
      <c r="C696" t="s">
        <v>23</v>
      </c>
      <c r="D696" s="1">
        <v>3310</v>
      </c>
      <c r="E696" s="1">
        <v>46729</v>
      </c>
      <c r="F696" s="2">
        <v>85960</v>
      </c>
    </row>
    <row r="697" spans="1:6" x14ac:dyDescent="0.25">
      <c r="A697">
        <v>2019</v>
      </c>
      <c r="B697" t="s">
        <v>53</v>
      </c>
      <c r="C697" t="s">
        <v>24</v>
      </c>
      <c r="D697">
        <v>799</v>
      </c>
      <c r="E697" s="1">
        <v>6210</v>
      </c>
      <c r="F697" s="2">
        <v>56592</v>
      </c>
    </row>
    <row r="698" spans="1:6" x14ac:dyDescent="0.25">
      <c r="A698">
        <v>2019</v>
      </c>
      <c r="B698" t="s">
        <v>53</v>
      </c>
      <c r="C698" t="s">
        <v>25</v>
      </c>
      <c r="D698" s="1">
        <v>1015</v>
      </c>
      <c r="E698" s="1">
        <v>17258</v>
      </c>
      <c r="F698" s="2">
        <v>66732</v>
      </c>
    </row>
    <row r="699" spans="1:6" x14ac:dyDescent="0.25">
      <c r="A699">
        <v>2019</v>
      </c>
      <c r="B699" t="s">
        <v>53</v>
      </c>
      <c r="C699" t="s">
        <v>26</v>
      </c>
      <c r="D699" s="1">
        <v>1664</v>
      </c>
      <c r="E699" s="1">
        <v>15847</v>
      </c>
      <c r="F699" s="2">
        <v>73213</v>
      </c>
    </row>
    <row r="700" spans="1:6" x14ac:dyDescent="0.25">
      <c r="A700">
        <v>2019</v>
      </c>
      <c r="B700" t="s">
        <v>53</v>
      </c>
      <c r="C700" t="s">
        <v>27</v>
      </c>
      <c r="D700" s="1">
        <v>1037</v>
      </c>
      <c r="E700" s="1">
        <v>12334</v>
      </c>
      <c r="F700" s="2">
        <v>97212</v>
      </c>
    </row>
    <row r="701" spans="1:6" x14ac:dyDescent="0.25">
      <c r="A701">
        <v>2019</v>
      </c>
      <c r="B701" t="s">
        <v>53</v>
      </c>
      <c r="C701" t="s">
        <v>28</v>
      </c>
      <c r="D701" s="1">
        <v>3724</v>
      </c>
      <c r="E701" s="1">
        <v>67578</v>
      </c>
      <c r="F701" s="2">
        <v>117433</v>
      </c>
    </row>
    <row r="702" spans="1:6" x14ac:dyDescent="0.25">
      <c r="A702">
        <v>2019</v>
      </c>
      <c r="B702" t="s">
        <v>53</v>
      </c>
      <c r="C702" t="s">
        <v>29</v>
      </c>
      <c r="D702" s="1">
        <v>1074</v>
      </c>
      <c r="E702" s="1">
        <v>11166</v>
      </c>
      <c r="F702" s="2">
        <v>57554</v>
      </c>
    </row>
    <row r="703" spans="1:6" x14ac:dyDescent="0.25">
      <c r="A703">
        <v>2019</v>
      </c>
      <c r="B703" t="s">
        <v>53</v>
      </c>
      <c r="C703" t="s">
        <v>30</v>
      </c>
      <c r="D703" s="1">
        <v>12812</v>
      </c>
      <c r="E703" s="1">
        <v>277408</v>
      </c>
      <c r="F703" s="2">
        <v>135959</v>
      </c>
    </row>
    <row r="704" spans="1:6" x14ac:dyDescent="0.25">
      <c r="A704">
        <v>2019</v>
      </c>
      <c r="B704" t="s">
        <v>53</v>
      </c>
      <c r="C704" t="s">
        <v>31</v>
      </c>
      <c r="D704" s="1">
        <v>5669</v>
      </c>
      <c r="E704" s="1">
        <v>75919</v>
      </c>
      <c r="F704" s="2">
        <v>87039</v>
      </c>
    </row>
    <row r="705" spans="1:6" x14ac:dyDescent="0.25">
      <c r="A705">
        <v>2019</v>
      </c>
      <c r="B705" t="s">
        <v>53</v>
      </c>
      <c r="C705" t="s">
        <v>32</v>
      </c>
      <c r="D705">
        <v>402</v>
      </c>
      <c r="E705" s="1">
        <v>6093</v>
      </c>
      <c r="F705" s="2">
        <v>71543</v>
      </c>
    </row>
    <row r="706" spans="1:6" x14ac:dyDescent="0.25">
      <c r="A706">
        <v>2019</v>
      </c>
      <c r="B706" t="s">
        <v>53</v>
      </c>
      <c r="C706" t="s">
        <v>33</v>
      </c>
      <c r="D706" s="1">
        <v>4915</v>
      </c>
      <c r="E706" s="1">
        <v>69330</v>
      </c>
      <c r="F706" s="2">
        <v>72613</v>
      </c>
    </row>
    <row r="707" spans="1:6" x14ac:dyDescent="0.25">
      <c r="A707">
        <v>2019</v>
      </c>
      <c r="B707" t="s">
        <v>53</v>
      </c>
      <c r="C707" t="s">
        <v>34</v>
      </c>
      <c r="D707" s="1">
        <v>1550</v>
      </c>
      <c r="E707" s="1">
        <v>19627</v>
      </c>
      <c r="F707" s="2">
        <v>60407</v>
      </c>
    </row>
    <row r="708" spans="1:6" x14ac:dyDescent="0.25">
      <c r="A708">
        <v>2019</v>
      </c>
      <c r="B708" t="s">
        <v>53</v>
      </c>
      <c r="C708" t="s">
        <v>35</v>
      </c>
      <c r="D708" s="1">
        <v>4135</v>
      </c>
      <c r="E708" s="1">
        <v>35053</v>
      </c>
      <c r="F708" s="2">
        <v>89633</v>
      </c>
    </row>
    <row r="709" spans="1:6" x14ac:dyDescent="0.25">
      <c r="A709">
        <v>2019</v>
      </c>
      <c r="B709" t="s">
        <v>53</v>
      </c>
      <c r="C709" t="s">
        <v>36</v>
      </c>
      <c r="D709" s="1">
        <v>5348</v>
      </c>
      <c r="E709" s="1">
        <v>87043</v>
      </c>
      <c r="F709" s="2">
        <v>94900</v>
      </c>
    </row>
    <row r="710" spans="1:6" x14ac:dyDescent="0.25">
      <c r="A710">
        <v>2019</v>
      </c>
      <c r="B710" t="s">
        <v>53</v>
      </c>
      <c r="C710" t="s">
        <v>37</v>
      </c>
      <c r="D710">
        <v>714</v>
      </c>
      <c r="E710" s="1">
        <v>5878</v>
      </c>
      <c r="F710" s="2">
        <v>76409</v>
      </c>
    </row>
    <row r="711" spans="1:6" x14ac:dyDescent="0.25">
      <c r="A711">
        <v>2019</v>
      </c>
      <c r="B711" t="s">
        <v>53</v>
      </c>
      <c r="C711" t="s">
        <v>38</v>
      </c>
      <c r="D711" s="1">
        <v>2883</v>
      </c>
      <c r="E711" s="1">
        <v>26869</v>
      </c>
      <c r="F711" s="2">
        <v>66032</v>
      </c>
    </row>
    <row r="712" spans="1:6" x14ac:dyDescent="0.25">
      <c r="A712">
        <v>2019</v>
      </c>
      <c r="B712" t="s">
        <v>53</v>
      </c>
      <c r="C712" t="s">
        <v>39</v>
      </c>
      <c r="D712">
        <v>589</v>
      </c>
      <c r="E712" s="1">
        <v>5500</v>
      </c>
      <c r="F712" s="2">
        <v>51535</v>
      </c>
    </row>
    <row r="713" spans="1:6" x14ac:dyDescent="0.25">
      <c r="A713">
        <v>2019</v>
      </c>
      <c r="B713" t="s">
        <v>53</v>
      </c>
      <c r="C713" t="s">
        <v>40</v>
      </c>
      <c r="D713" s="1">
        <v>3981</v>
      </c>
      <c r="E713" s="1">
        <v>45042</v>
      </c>
      <c r="F713" s="2">
        <v>75375</v>
      </c>
    </row>
    <row r="714" spans="1:6" x14ac:dyDescent="0.25">
      <c r="A714">
        <v>2019</v>
      </c>
      <c r="B714" t="s">
        <v>53</v>
      </c>
      <c r="C714" t="s">
        <v>41</v>
      </c>
      <c r="D714" s="1">
        <v>10627</v>
      </c>
      <c r="E714" s="1">
        <v>208591</v>
      </c>
      <c r="F714" s="2">
        <v>90857</v>
      </c>
    </row>
    <row r="715" spans="1:6" x14ac:dyDescent="0.25">
      <c r="A715">
        <v>2019</v>
      </c>
      <c r="B715" t="s">
        <v>53</v>
      </c>
      <c r="C715" t="s">
        <v>42</v>
      </c>
      <c r="D715" s="1">
        <v>2776</v>
      </c>
      <c r="E715" s="1">
        <v>38323</v>
      </c>
      <c r="F715" s="2">
        <v>84735</v>
      </c>
    </row>
    <row r="716" spans="1:6" x14ac:dyDescent="0.25">
      <c r="A716">
        <v>2019</v>
      </c>
      <c r="B716" t="s">
        <v>53</v>
      </c>
      <c r="C716" t="s">
        <v>43</v>
      </c>
      <c r="D716">
        <v>527</v>
      </c>
      <c r="E716" s="1">
        <v>4322</v>
      </c>
      <c r="F716" s="2">
        <v>62861</v>
      </c>
    </row>
    <row r="717" spans="1:6" x14ac:dyDescent="0.25">
      <c r="A717">
        <v>2019</v>
      </c>
      <c r="B717" t="s">
        <v>53</v>
      </c>
      <c r="C717" t="s">
        <v>44</v>
      </c>
      <c r="D717" s="1">
        <v>4600</v>
      </c>
      <c r="E717" s="1">
        <v>67714</v>
      </c>
      <c r="F717" s="2">
        <v>107966</v>
      </c>
    </row>
    <row r="718" spans="1:6" x14ac:dyDescent="0.25">
      <c r="A718">
        <v>2019</v>
      </c>
      <c r="B718" t="s">
        <v>53</v>
      </c>
      <c r="C718" t="s">
        <v>45</v>
      </c>
      <c r="D718" s="1">
        <v>5007</v>
      </c>
      <c r="E718" s="1">
        <v>143883</v>
      </c>
      <c r="F718" s="2">
        <v>207135</v>
      </c>
    </row>
    <row r="719" spans="1:6" x14ac:dyDescent="0.25">
      <c r="A719">
        <v>2019</v>
      </c>
      <c r="B719" t="s">
        <v>53</v>
      </c>
      <c r="C719" t="s">
        <v>46</v>
      </c>
      <c r="D719">
        <v>818</v>
      </c>
      <c r="E719" s="1">
        <v>8072</v>
      </c>
      <c r="F719" s="2">
        <v>53281</v>
      </c>
    </row>
    <row r="720" spans="1:6" x14ac:dyDescent="0.25">
      <c r="A720">
        <v>2019</v>
      </c>
      <c r="B720" t="s">
        <v>53</v>
      </c>
      <c r="C720" t="s">
        <v>47</v>
      </c>
      <c r="D720" s="1">
        <v>2335</v>
      </c>
      <c r="E720" s="1">
        <v>46993</v>
      </c>
      <c r="F720" s="2">
        <v>82512</v>
      </c>
    </row>
    <row r="721" spans="1:6" x14ac:dyDescent="0.25">
      <c r="A721">
        <v>2019</v>
      </c>
      <c r="B721" t="s">
        <v>53</v>
      </c>
      <c r="C721" t="s">
        <v>48</v>
      </c>
      <c r="D721">
        <v>417</v>
      </c>
      <c r="E721" s="1">
        <v>3424</v>
      </c>
      <c r="F721" s="2">
        <v>49035</v>
      </c>
    </row>
    <row r="722" spans="1:6" x14ac:dyDescent="0.25">
      <c r="A722">
        <v>2019</v>
      </c>
      <c r="B722" t="s">
        <v>56</v>
      </c>
      <c r="C722" t="s">
        <v>1</v>
      </c>
      <c r="D722" s="1">
        <v>13590</v>
      </c>
      <c r="E722" s="1">
        <v>95053</v>
      </c>
      <c r="F722" s="2">
        <v>71076</v>
      </c>
    </row>
    <row r="723" spans="1:6" x14ac:dyDescent="0.25">
      <c r="A723">
        <v>2019</v>
      </c>
      <c r="B723" t="s">
        <v>56</v>
      </c>
      <c r="C723" t="s">
        <v>2</v>
      </c>
      <c r="D723" s="1">
        <v>19357</v>
      </c>
      <c r="E723" s="1">
        <v>223263</v>
      </c>
      <c r="F723" s="2">
        <v>74627</v>
      </c>
    </row>
    <row r="724" spans="1:6" x14ac:dyDescent="0.25">
      <c r="A724">
        <v>2019</v>
      </c>
      <c r="B724" t="s">
        <v>56</v>
      </c>
      <c r="C724" t="s">
        <v>3</v>
      </c>
      <c r="D724" s="1">
        <v>8591</v>
      </c>
      <c r="E724" s="1">
        <v>51934</v>
      </c>
      <c r="F724" s="2">
        <v>60198</v>
      </c>
    </row>
    <row r="725" spans="1:6" x14ac:dyDescent="0.25">
      <c r="A725">
        <v>2019</v>
      </c>
      <c r="B725" t="s">
        <v>56</v>
      </c>
      <c r="C725" t="s">
        <v>4</v>
      </c>
      <c r="D725" s="1">
        <v>109980</v>
      </c>
      <c r="E725" s="1">
        <v>841829</v>
      </c>
      <c r="F725" s="2">
        <v>112757</v>
      </c>
    </row>
    <row r="726" spans="1:6" x14ac:dyDescent="0.25">
      <c r="A726">
        <v>2019</v>
      </c>
      <c r="B726" t="s">
        <v>56</v>
      </c>
      <c r="C726" t="s">
        <v>5</v>
      </c>
      <c r="D726" s="1">
        <v>24028</v>
      </c>
      <c r="E726" s="1">
        <v>167272</v>
      </c>
      <c r="F726" s="2">
        <v>88613</v>
      </c>
    </row>
    <row r="727" spans="1:6" x14ac:dyDescent="0.25">
      <c r="A727">
        <v>2019</v>
      </c>
      <c r="B727" t="s">
        <v>56</v>
      </c>
      <c r="C727" t="s">
        <v>6</v>
      </c>
      <c r="D727" s="1">
        <v>11028</v>
      </c>
      <c r="E727" s="1">
        <v>121869</v>
      </c>
      <c r="F727" s="2">
        <v>157629</v>
      </c>
    </row>
    <row r="728" spans="1:6" x14ac:dyDescent="0.25">
      <c r="A728">
        <v>2019</v>
      </c>
      <c r="B728" t="s">
        <v>56</v>
      </c>
      <c r="C728" t="s">
        <v>7</v>
      </c>
      <c r="D728" s="1">
        <v>2907</v>
      </c>
      <c r="E728" s="1">
        <v>48162</v>
      </c>
      <c r="F728" s="2">
        <v>97426</v>
      </c>
    </row>
    <row r="729" spans="1:6" x14ac:dyDescent="0.25">
      <c r="A729">
        <v>2019</v>
      </c>
      <c r="B729" t="s">
        <v>56</v>
      </c>
      <c r="C729" t="s">
        <v>8</v>
      </c>
      <c r="D729" s="1">
        <v>76648</v>
      </c>
      <c r="E729" s="1">
        <v>585959</v>
      </c>
      <c r="F729" s="2">
        <v>77025</v>
      </c>
    </row>
    <row r="730" spans="1:6" x14ac:dyDescent="0.25">
      <c r="A730">
        <v>2019</v>
      </c>
      <c r="B730" t="s">
        <v>56</v>
      </c>
      <c r="C730" t="s">
        <v>9</v>
      </c>
      <c r="D730" s="1">
        <v>26961</v>
      </c>
      <c r="E730" s="1">
        <v>242468</v>
      </c>
      <c r="F730" s="2">
        <v>86701</v>
      </c>
    </row>
    <row r="731" spans="1:6" x14ac:dyDescent="0.25">
      <c r="A731">
        <v>2019</v>
      </c>
      <c r="B731" t="s">
        <v>56</v>
      </c>
      <c r="C731" t="s">
        <v>10</v>
      </c>
      <c r="D731" s="1">
        <v>5859</v>
      </c>
      <c r="E731" s="1">
        <v>33273</v>
      </c>
      <c r="F731" s="2">
        <v>59504</v>
      </c>
    </row>
    <row r="732" spans="1:6" x14ac:dyDescent="0.25">
      <c r="A732">
        <v>2019</v>
      </c>
      <c r="B732" t="s">
        <v>56</v>
      </c>
      <c r="C732" t="s">
        <v>11</v>
      </c>
      <c r="D732" s="1">
        <v>32792</v>
      </c>
      <c r="E732" s="1">
        <v>381941</v>
      </c>
      <c r="F732" s="2">
        <v>113091</v>
      </c>
    </row>
    <row r="733" spans="1:6" x14ac:dyDescent="0.25">
      <c r="A733">
        <v>2019</v>
      </c>
      <c r="B733" t="s">
        <v>56</v>
      </c>
      <c r="C733" t="s">
        <v>12</v>
      </c>
      <c r="D733" s="1">
        <v>16940</v>
      </c>
      <c r="E733" s="1">
        <v>135547</v>
      </c>
      <c r="F733" s="2">
        <v>67469</v>
      </c>
    </row>
    <row r="734" spans="1:6" x14ac:dyDescent="0.25">
      <c r="A734">
        <v>2019</v>
      </c>
      <c r="B734" t="s">
        <v>56</v>
      </c>
      <c r="C734" t="s">
        <v>13</v>
      </c>
      <c r="D734" s="1">
        <v>10414</v>
      </c>
      <c r="E734" s="1">
        <v>110010</v>
      </c>
      <c r="F734" s="2">
        <v>76212</v>
      </c>
    </row>
    <row r="735" spans="1:6" x14ac:dyDescent="0.25">
      <c r="A735">
        <v>2019</v>
      </c>
      <c r="B735" t="s">
        <v>56</v>
      </c>
      <c r="C735" t="s">
        <v>14</v>
      </c>
      <c r="D735" s="1">
        <v>8744</v>
      </c>
      <c r="E735" s="1">
        <v>74336</v>
      </c>
      <c r="F735" s="2">
        <v>68950</v>
      </c>
    </row>
    <row r="736" spans="1:6" x14ac:dyDescent="0.25">
      <c r="A736">
        <v>2019</v>
      </c>
      <c r="B736" t="s">
        <v>56</v>
      </c>
      <c r="C736" t="s">
        <v>15</v>
      </c>
      <c r="D736" s="1">
        <v>11201</v>
      </c>
      <c r="E736" s="1">
        <v>93556</v>
      </c>
      <c r="F736" s="2">
        <v>69885</v>
      </c>
    </row>
    <row r="737" spans="1:6" x14ac:dyDescent="0.25">
      <c r="A737">
        <v>2019</v>
      </c>
      <c r="B737" t="s">
        <v>56</v>
      </c>
      <c r="C737" t="s">
        <v>16</v>
      </c>
      <c r="D737" s="1">
        <v>13852</v>
      </c>
      <c r="E737" s="1">
        <v>84791</v>
      </c>
      <c r="F737" s="2">
        <v>63590</v>
      </c>
    </row>
    <row r="738" spans="1:6" x14ac:dyDescent="0.25">
      <c r="A738">
        <v>2019</v>
      </c>
      <c r="B738" t="s">
        <v>56</v>
      </c>
      <c r="C738" t="s">
        <v>17</v>
      </c>
      <c r="D738" s="1">
        <v>3854</v>
      </c>
      <c r="E738" s="1">
        <v>30481</v>
      </c>
      <c r="F738" s="2">
        <v>70030</v>
      </c>
    </row>
    <row r="739" spans="1:6" x14ac:dyDescent="0.25">
      <c r="A739">
        <v>2019</v>
      </c>
      <c r="B739" t="s">
        <v>56</v>
      </c>
      <c r="C739" t="s">
        <v>18</v>
      </c>
      <c r="D739" s="1">
        <v>15512</v>
      </c>
      <c r="E739" s="1">
        <v>135216</v>
      </c>
      <c r="F739" s="2">
        <v>98024</v>
      </c>
    </row>
    <row r="740" spans="1:6" x14ac:dyDescent="0.25">
      <c r="A740">
        <v>2019</v>
      </c>
      <c r="B740" t="s">
        <v>56</v>
      </c>
      <c r="C740" t="s">
        <v>19</v>
      </c>
      <c r="D740" s="1">
        <v>17883</v>
      </c>
      <c r="E740" s="1">
        <v>218858</v>
      </c>
      <c r="F740" s="2">
        <v>147565</v>
      </c>
    </row>
    <row r="741" spans="1:6" x14ac:dyDescent="0.25">
      <c r="A741">
        <v>2019</v>
      </c>
      <c r="B741" t="s">
        <v>56</v>
      </c>
      <c r="C741" t="s">
        <v>20</v>
      </c>
      <c r="D741" s="1">
        <v>19641</v>
      </c>
      <c r="E741" s="1">
        <v>208812</v>
      </c>
      <c r="F741" s="2">
        <v>73691</v>
      </c>
    </row>
    <row r="742" spans="1:6" x14ac:dyDescent="0.25">
      <c r="A742">
        <v>2019</v>
      </c>
      <c r="B742" t="s">
        <v>56</v>
      </c>
      <c r="C742" t="s">
        <v>21</v>
      </c>
      <c r="D742" s="1">
        <v>15855</v>
      </c>
      <c r="E742" s="1">
        <v>182914</v>
      </c>
      <c r="F742" s="2">
        <v>97673</v>
      </c>
    </row>
    <row r="743" spans="1:6" x14ac:dyDescent="0.25">
      <c r="A743">
        <v>2019</v>
      </c>
      <c r="B743" t="s">
        <v>56</v>
      </c>
      <c r="C743" t="s">
        <v>22</v>
      </c>
      <c r="D743" s="1">
        <v>7944</v>
      </c>
      <c r="E743" s="1">
        <v>43109</v>
      </c>
      <c r="F743" s="2">
        <v>54672</v>
      </c>
    </row>
    <row r="744" spans="1:6" x14ac:dyDescent="0.25">
      <c r="A744">
        <v>2019</v>
      </c>
      <c r="B744" t="s">
        <v>56</v>
      </c>
      <c r="C744" t="s">
        <v>23</v>
      </c>
      <c r="D744" s="1">
        <v>17951</v>
      </c>
      <c r="E744" s="1">
        <v>166025</v>
      </c>
      <c r="F744" s="2">
        <v>75387</v>
      </c>
    </row>
    <row r="745" spans="1:6" x14ac:dyDescent="0.25">
      <c r="A745">
        <v>2019</v>
      </c>
      <c r="B745" t="s">
        <v>56</v>
      </c>
      <c r="C745" t="s">
        <v>24</v>
      </c>
      <c r="D745" s="1">
        <v>4314</v>
      </c>
      <c r="E745" s="1">
        <v>22199</v>
      </c>
      <c r="F745" s="2">
        <v>60907</v>
      </c>
    </row>
    <row r="746" spans="1:6" x14ac:dyDescent="0.25">
      <c r="A746">
        <v>2019</v>
      </c>
      <c r="B746" t="s">
        <v>56</v>
      </c>
      <c r="C746" t="s">
        <v>25</v>
      </c>
      <c r="D746" s="1">
        <v>6842</v>
      </c>
      <c r="E746" s="1">
        <v>67425</v>
      </c>
      <c r="F746" s="2">
        <v>69072</v>
      </c>
    </row>
    <row r="747" spans="1:6" x14ac:dyDescent="0.25">
      <c r="A747">
        <v>2019</v>
      </c>
      <c r="B747" t="s">
        <v>56</v>
      </c>
      <c r="C747" t="s">
        <v>26</v>
      </c>
      <c r="D747" s="1">
        <v>9324</v>
      </c>
      <c r="E747" s="1">
        <v>64932</v>
      </c>
      <c r="F747" s="2">
        <v>70204</v>
      </c>
    </row>
    <row r="748" spans="1:6" x14ac:dyDescent="0.25">
      <c r="A748">
        <v>2019</v>
      </c>
      <c r="B748" t="s">
        <v>56</v>
      </c>
      <c r="C748" t="s">
        <v>27</v>
      </c>
      <c r="D748" s="1">
        <v>3881</v>
      </c>
      <c r="E748" s="1">
        <v>33418</v>
      </c>
      <c r="F748" s="2">
        <v>100104</v>
      </c>
    </row>
    <row r="749" spans="1:6" x14ac:dyDescent="0.25">
      <c r="A749">
        <v>2019</v>
      </c>
      <c r="B749" t="s">
        <v>56</v>
      </c>
      <c r="C749" t="s">
        <v>28</v>
      </c>
      <c r="D749" s="1">
        <v>20037</v>
      </c>
      <c r="E749" s="1">
        <v>243892</v>
      </c>
      <c r="F749" s="2">
        <v>117277</v>
      </c>
    </row>
    <row r="750" spans="1:6" x14ac:dyDescent="0.25">
      <c r="A750">
        <v>2019</v>
      </c>
      <c r="B750" t="s">
        <v>56</v>
      </c>
      <c r="C750" t="s">
        <v>29</v>
      </c>
      <c r="D750" s="1">
        <v>5460</v>
      </c>
      <c r="E750" s="1">
        <v>33799</v>
      </c>
      <c r="F750" s="2">
        <v>57768</v>
      </c>
    </row>
    <row r="751" spans="1:6" x14ac:dyDescent="0.25">
      <c r="A751">
        <v>2019</v>
      </c>
      <c r="B751" t="s">
        <v>56</v>
      </c>
      <c r="C751" t="s">
        <v>30</v>
      </c>
      <c r="D751" s="1">
        <v>63310</v>
      </c>
      <c r="E751" s="1">
        <v>720818</v>
      </c>
      <c r="F751" s="2">
        <v>191494</v>
      </c>
    </row>
    <row r="752" spans="1:6" x14ac:dyDescent="0.25">
      <c r="A752">
        <v>2019</v>
      </c>
      <c r="B752" t="s">
        <v>56</v>
      </c>
      <c r="C752" t="s">
        <v>31</v>
      </c>
      <c r="D752" s="1">
        <v>28672</v>
      </c>
      <c r="E752" s="1">
        <v>245903</v>
      </c>
      <c r="F752" s="2">
        <v>89886</v>
      </c>
    </row>
    <row r="753" spans="1:6" x14ac:dyDescent="0.25">
      <c r="A753">
        <v>2019</v>
      </c>
      <c r="B753" t="s">
        <v>56</v>
      </c>
      <c r="C753" t="s">
        <v>32</v>
      </c>
      <c r="D753" s="1">
        <v>2985</v>
      </c>
      <c r="E753" s="1">
        <v>23264</v>
      </c>
      <c r="F753" s="2">
        <v>65784</v>
      </c>
    </row>
    <row r="754" spans="1:6" x14ac:dyDescent="0.25">
      <c r="A754">
        <v>2019</v>
      </c>
      <c r="B754" t="s">
        <v>56</v>
      </c>
      <c r="C754" t="s">
        <v>33</v>
      </c>
      <c r="D754" s="1">
        <v>29119</v>
      </c>
      <c r="E754" s="1">
        <v>292556</v>
      </c>
      <c r="F754" s="2">
        <v>75683</v>
      </c>
    </row>
    <row r="755" spans="1:6" x14ac:dyDescent="0.25">
      <c r="A755">
        <v>2019</v>
      </c>
      <c r="B755" t="s">
        <v>56</v>
      </c>
      <c r="C755" t="s">
        <v>34</v>
      </c>
      <c r="D755" s="1">
        <v>11672</v>
      </c>
      <c r="E755" s="1">
        <v>77324</v>
      </c>
      <c r="F755" s="2">
        <v>59814</v>
      </c>
    </row>
    <row r="756" spans="1:6" x14ac:dyDescent="0.25">
      <c r="A756">
        <v>2019</v>
      </c>
      <c r="B756" t="s">
        <v>56</v>
      </c>
      <c r="C756" t="s">
        <v>35</v>
      </c>
      <c r="D756" s="1">
        <v>13190</v>
      </c>
      <c r="E756" s="1">
        <v>85425</v>
      </c>
      <c r="F756" s="2">
        <v>73291</v>
      </c>
    </row>
    <row r="757" spans="1:6" x14ac:dyDescent="0.25">
      <c r="A757">
        <v>2019</v>
      </c>
      <c r="B757" t="s">
        <v>56</v>
      </c>
      <c r="C757" t="s">
        <v>36</v>
      </c>
      <c r="D757" s="1">
        <v>29264</v>
      </c>
      <c r="E757" s="1">
        <v>329745</v>
      </c>
      <c r="F757" s="2">
        <v>90778</v>
      </c>
    </row>
    <row r="758" spans="1:6" x14ac:dyDescent="0.25">
      <c r="A758">
        <v>2019</v>
      </c>
      <c r="B758" t="s">
        <v>56</v>
      </c>
      <c r="C758" t="s">
        <v>37</v>
      </c>
      <c r="D758" s="1">
        <v>2934</v>
      </c>
      <c r="E758" s="1">
        <v>32223</v>
      </c>
      <c r="F758" s="2">
        <v>91537</v>
      </c>
    </row>
    <row r="759" spans="1:6" x14ac:dyDescent="0.25">
      <c r="A759">
        <v>2019</v>
      </c>
      <c r="B759" t="s">
        <v>56</v>
      </c>
      <c r="C759" t="s">
        <v>38</v>
      </c>
      <c r="D759" s="1">
        <v>14196</v>
      </c>
      <c r="E759" s="1">
        <v>101755</v>
      </c>
      <c r="F759" s="2">
        <v>64481</v>
      </c>
    </row>
    <row r="760" spans="1:6" x14ac:dyDescent="0.25">
      <c r="A760">
        <v>2019</v>
      </c>
      <c r="B760" t="s">
        <v>56</v>
      </c>
      <c r="C760" t="s">
        <v>39</v>
      </c>
      <c r="D760" s="1">
        <v>3315</v>
      </c>
      <c r="E760" s="1">
        <v>28483</v>
      </c>
      <c r="F760" s="2">
        <v>63499</v>
      </c>
    </row>
    <row r="761" spans="1:6" x14ac:dyDescent="0.25">
      <c r="A761">
        <v>2019</v>
      </c>
      <c r="B761" t="s">
        <v>56</v>
      </c>
      <c r="C761" t="s">
        <v>40</v>
      </c>
      <c r="D761" s="1">
        <v>16270</v>
      </c>
      <c r="E761" s="1">
        <v>157388</v>
      </c>
      <c r="F761" s="2">
        <v>77805</v>
      </c>
    </row>
    <row r="762" spans="1:6" x14ac:dyDescent="0.25">
      <c r="A762">
        <v>2019</v>
      </c>
      <c r="B762" t="s">
        <v>56</v>
      </c>
      <c r="C762" t="s">
        <v>41</v>
      </c>
      <c r="D762" s="1">
        <v>76169</v>
      </c>
      <c r="E762" s="1">
        <v>777574</v>
      </c>
      <c r="F762" s="2">
        <v>86718</v>
      </c>
    </row>
    <row r="763" spans="1:6" x14ac:dyDescent="0.25">
      <c r="A763">
        <v>2019</v>
      </c>
      <c r="B763" t="s">
        <v>56</v>
      </c>
      <c r="C763" t="s">
        <v>42</v>
      </c>
      <c r="D763" s="1">
        <v>11885</v>
      </c>
      <c r="E763" s="1">
        <v>90007</v>
      </c>
      <c r="F763" s="2">
        <v>70967</v>
      </c>
    </row>
    <row r="764" spans="1:6" x14ac:dyDescent="0.25">
      <c r="A764">
        <v>2019</v>
      </c>
      <c r="B764" t="s">
        <v>56</v>
      </c>
      <c r="C764" t="s">
        <v>43</v>
      </c>
      <c r="D764" s="1">
        <v>1709</v>
      </c>
      <c r="E764" s="1">
        <v>11948</v>
      </c>
      <c r="F764" s="2">
        <v>74642</v>
      </c>
    </row>
    <row r="765" spans="1:6" x14ac:dyDescent="0.25">
      <c r="A765">
        <v>2019</v>
      </c>
      <c r="B765" t="s">
        <v>56</v>
      </c>
      <c r="C765" t="s">
        <v>44</v>
      </c>
      <c r="D765" s="1">
        <v>22249</v>
      </c>
      <c r="E765" s="1">
        <v>198459</v>
      </c>
      <c r="F765" s="2">
        <v>88029</v>
      </c>
    </row>
    <row r="766" spans="1:6" x14ac:dyDescent="0.25">
      <c r="A766">
        <v>2019</v>
      </c>
      <c r="B766" t="s">
        <v>56</v>
      </c>
      <c r="C766" t="s">
        <v>45</v>
      </c>
      <c r="D766" s="1">
        <v>17624</v>
      </c>
      <c r="E766" s="1">
        <v>150178</v>
      </c>
      <c r="F766" s="2">
        <v>85242</v>
      </c>
    </row>
    <row r="767" spans="1:6" x14ac:dyDescent="0.25">
      <c r="A767">
        <v>2019</v>
      </c>
      <c r="B767" t="s">
        <v>56</v>
      </c>
      <c r="C767" t="s">
        <v>46</v>
      </c>
      <c r="D767" s="1">
        <v>4003</v>
      </c>
      <c r="E767" s="1">
        <v>24569</v>
      </c>
      <c r="F767" s="2">
        <v>54528</v>
      </c>
    </row>
    <row r="768" spans="1:6" x14ac:dyDescent="0.25">
      <c r="A768">
        <v>2019</v>
      </c>
      <c r="B768" t="s">
        <v>56</v>
      </c>
      <c r="C768" t="s">
        <v>47</v>
      </c>
      <c r="D768" s="1">
        <v>14066</v>
      </c>
      <c r="E768" s="1">
        <v>150327</v>
      </c>
      <c r="F768" s="2">
        <v>74040</v>
      </c>
    </row>
    <row r="769" spans="1:6" x14ac:dyDescent="0.25">
      <c r="A769">
        <v>2019</v>
      </c>
      <c r="B769" t="s">
        <v>56</v>
      </c>
      <c r="C769" t="s">
        <v>48</v>
      </c>
      <c r="D769" s="1">
        <v>2306</v>
      </c>
      <c r="E769" s="1">
        <v>11180</v>
      </c>
      <c r="F769" s="2">
        <v>60849</v>
      </c>
    </row>
    <row r="770" spans="1:6" x14ac:dyDescent="0.25">
      <c r="A770">
        <v>2019</v>
      </c>
      <c r="B770" t="s">
        <v>57</v>
      </c>
      <c r="C770" t="s">
        <v>1</v>
      </c>
      <c r="D770" s="1">
        <v>22186</v>
      </c>
      <c r="E770" s="1">
        <v>251073</v>
      </c>
      <c r="F770" s="2">
        <v>57061</v>
      </c>
    </row>
    <row r="771" spans="1:6" x14ac:dyDescent="0.25">
      <c r="A771">
        <v>2019</v>
      </c>
      <c r="B771" t="s">
        <v>57</v>
      </c>
      <c r="C771" t="s">
        <v>2</v>
      </c>
      <c r="D771" s="1">
        <v>38940</v>
      </c>
      <c r="E771" s="1">
        <v>445648</v>
      </c>
      <c r="F771" s="2">
        <v>58892</v>
      </c>
    </row>
    <row r="772" spans="1:6" x14ac:dyDescent="0.25">
      <c r="A772">
        <v>2019</v>
      </c>
      <c r="B772" t="s">
        <v>57</v>
      </c>
      <c r="C772" t="s">
        <v>3</v>
      </c>
      <c r="D772" s="1">
        <v>14911</v>
      </c>
      <c r="E772" s="1">
        <v>145841</v>
      </c>
      <c r="F772" s="2">
        <v>63354</v>
      </c>
    </row>
    <row r="773" spans="1:6" x14ac:dyDescent="0.25">
      <c r="A773">
        <v>2019</v>
      </c>
      <c r="B773" t="s">
        <v>57</v>
      </c>
      <c r="C773" t="s">
        <v>4</v>
      </c>
      <c r="D773" s="1">
        <v>215691</v>
      </c>
      <c r="E773" s="1">
        <v>2723437</v>
      </c>
      <c r="F773" s="2">
        <v>95348</v>
      </c>
    </row>
    <row r="774" spans="1:6" x14ac:dyDescent="0.25">
      <c r="A774">
        <v>2019</v>
      </c>
      <c r="B774" t="s">
        <v>57</v>
      </c>
      <c r="C774" t="s">
        <v>5</v>
      </c>
      <c r="D774" s="1">
        <v>55003</v>
      </c>
      <c r="E774" s="1">
        <v>439613</v>
      </c>
      <c r="F774" s="2">
        <v>86477</v>
      </c>
    </row>
    <row r="775" spans="1:6" x14ac:dyDescent="0.25">
      <c r="A775">
        <v>2019</v>
      </c>
      <c r="B775" t="s">
        <v>57</v>
      </c>
      <c r="C775" t="s">
        <v>6</v>
      </c>
      <c r="D775" s="1">
        <v>23755</v>
      </c>
      <c r="E775" s="1">
        <v>218815</v>
      </c>
      <c r="F775" s="2">
        <v>92139</v>
      </c>
    </row>
    <row r="776" spans="1:6" x14ac:dyDescent="0.25">
      <c r="A776">
        <v>2019</v>
      </c>
      <c r="B776" t="s">
        <v>57</v>
      </c>
      <c r="C776" t="s">
        <v>7</v>
      </c>
      <c r="D776" s="1">
        <v>9421</v>
      </c>
      <c r="E776" s="1">
        <v>63844</v>
      </c>
      <c r="F776" s="2">
        <v>82658</v>
      </c>
    </row>
    <row r="777" spans="1:6" x14ac:dyDescent="0.25">
      <c r="A777">
        <v>2019</v>
      </c>
      <c r="B777" t="s">
        <v>57</v>
      </c>
      <c r="C777" t="s">
        <v>8</v>
      </c>
      <c r="D777" s="1">
        <v>170397</v>
      </c>
      <c r="E777" s="1">
        <v>1391050</v>
      </c>
      <c r="F777" s="2">
        <v>63740</v>
      </c>
    </row>
    <row r="778" spans="1:6" x14ac:dyDescent="0.25">
      <c r="A778">
        <v>2019</v>
      </c>
      <c r="B778" t="s">
        <v>57</v>
      </c>
      <c r="C778" t="s">
        <v>9</v>
      </c>
      <c r="D778" s="1">
        <v>56304</v>
      </c>
      <c r="E778" s="1">
        <v>717238</v>
      </c>
      <c r="F778" s="2">
        <v>71861</v>
      </c>
    </row>
    <row r="779" spans="1:6" x14ac:dyDescent="0.25">
      <c r="A779">
        <v>2019</v>
      </c>
      <c r="B779" t="s">
        <v>57</v>
      </c>
      <c r="C779" t="s">
        <v>10</v>
      </c>
      <c r="D779" s="1">
        <v>11359</v>
      </c>
      <c r="E779" s="1">
        <v>94181</v>
      </c>
      <c r="F779" s="2">
        <v>55072</v>
      </c>
    </row>
    <row r="780" spans="1:6" x14ac:dyDescent="0.25">
      <c r="A780">
        <v>2019</v>
      </c>
      <c r="B780" t="s">
        <v>57</v>
      </c>
      <c r="C780" t="s">
        <v>11</v>
      </c>
      <c r="D780" s="1">
        <v>75870</v>
      </c>
      <c r="E780" s="1">
        <v>948055</v>
      </c>
      <c r="F780" s="2">
        <v>78228</v>
      </c>
    </row>
    <row r="781" spans="1:6" x14ac:dyDescent="0.25">
      <c r="A781">
        <v>2019</v>
      </c>
      <c r="B781" t="s">
        <v>57</v>
      </c>
      <c r="C781" t="s">
        <v>12</v>
      </c>
      <c r="D781" s="1">
        <v>30165</v>
      </c>
      <c r="E781" s="1">
        <v>346667</v>
      </c>
      <c r="F781" s="2">
        <v>53817</v>
      </c>
    </row>
    <row r="782" spans="1:6" x14ac:dyDescent="0.25">
      <c r="A782">
        <v>2019</v>
      </c>
      <c r="B782" t="s">
        <v>57</v>
      </c>
      <c r="C782" t="s">
        <v>13</v>
      </c>
      <c r="D782" s="1">
        <v>16421</v>
      </c>
      <c r="E782" s="1">
        <v>139337</v>
      </c>
      <c r="F782" s="2">
        <v>56755</v>
      </c>
    </row>
    <row r="783" spans="1:6" x14ac:dyDescent="0.25">
      <c r="A783">
        <v>2019</v>
      </c>
      <c r="B783" t="s">
        <v>57</v>
      </c>
      <c r="C783" t="s">
        <v>14</v>
      </c>
      <c r="D783" s="1">
        <v>16598</v>
      </c>
      <c r="E783" s="1">
        <v>179211</v>
      </c>
      <c r="F783" s="2">
        <v>64554</v>
      </c>
    </row>
    <row r="784" spans="1:6" x14ac:dyDescent="0.25">
      <c r="A784">
        <v>2019</v>
      </c>
      <c r="B784" t="s">
        <v>57</v>
      </c>
      <c r="C784" t="s">
        <v>15</v>
      </c>
      <c r="D784" s="1">
        <v>20866</v>
      </c>
      <c r="E784" s="1">
        <v>216049</v>
      </c>
      <c r="F784" s="2">
        <v>52511</v>
      </c>
    </row>
    <row r="785" spans="1:6" x14ac:dyDescent="0.25">
      <c r="A785">
        <v>2019</v>
      </c>
      <c r="B785" t="s">
        <v>57</v>
      </c>
      <c r="C785" t="s">
        <v>16</v>
      </c>
      <c r="D785" s="1">
        <v>25304</v>
      </c>
      <c r="E785" s="1">
        <v>216009</v>
      </c>
      <c r="F785" s="2">
        <v>57624</v>
      </c>
    </row>
    <row r="786" spans="1:6" x14ac:dyDescent="0.25">
      <c r="A786">
        <v>2019</v>
      </c>
      <c r="B786" t="s">
        <v>57</v>
      </c>
      <c r="C786" t="s">
        <v>17</v>
      </c>
      <c r="D786" s="1">
        <v>10504</v>
      </c>
      <c r="E786" s="1">
        <v>69931</v>
      </c>
      <c r="F786" s="2">
        <v>60893</v>
      </c>
    </row>
    <row r="787" spans="1:6" x14ac:dyDescent="0.25">
      <c r="A787">
        <v>2019</v>
      </c>
      <c r="B787" t="s">
        <v>57</v>
      </c>
      <c r="C787" t="s">
        <v>18</v>
      </c>
      <c r="D787" s="1">
        <v>44172</v>
      </c>
      <c r="E787" s="1">
        <v>461724</v>
      </c>
      <c r="F787" s="2">
        <v>82573</v>
      </c>
    </row>
    <row r="788" spans="1:6" x14ac:dyDescent="0.25">
      <c r="A788">
        <v>2019</v>
      </c>
      <c r="B788" t="s">
        <v>57</v>
      </c>
      <c r="C788" t="s">
        <v>19</v>
      </c>
      <c r="D788" s="1">
        <v>47892</v>
      </c>
      <c r="E788" s="1">
        <v>605822</v>
      </c>
      <c r="F788" s="2">
        <v>113872</v>
      </c>
    </row>
    <row r="789" spans="1:6" x14ac:dyDescent="0.25">
      <c r="A789">
        <v>2019</v>
      </c>
      <c r="B789" t="s">
        <v>57</v>
      </c>
      <c r="C789" t="s">
        <v>20</v>
      </c>
      <c r="D789" s="1">
        <v>44483</v>
      </c>
      <c r="E789" s="1">
        <v>655188</v>
      </c>
      <c r="F789" s="2">
        <v>70805</v>
      </c>
    </row>
    <row r="790" spans="1:6" x14ac:dyDescent="0.25">
      <c r="A790">
        <v>2019</v>
      </c>
      <c r="B790" t="s">
        <v>57</v>
      </c>
      <c r="C790" t="s">
        <v>21</v>
      </c>
      <c r="D790" s="1">
        <v>32903</v>
      </c>
      <c r="E790" s="1">
        <v>383591</v>
      </c>
      <c r="F790" s="2">
        <v>85736</v>
      </c>
    </row>
    <row r="791" spans="1:6" x14ac:dyDescent="0.25">
      <c r="A791">
        <v>2019</v>
      </c>
      <c r="B791" t="s">
        <v>57</v>
      </c>
      <c r="C791" t="s">
        <v>22</v>
      </c>
      <c r="D791" s="1">
        <v>12421</v>
      </c>
      <c r="E791" s="1">
        <v>108490</v>
      </c>
      <c r="F791" s="2">
        <v>43023</v>
      </c>
    </row>
    <row r="792" spans="1:6" x14ac:dyDescent="0.25">
      <c r="A792">
        <v>2019</v>
      </c>
      <c r="B792" t="s">
        <v>57</v>
      </c>
      <c r="C792" t="s">
        <v>23</v>
      </c>
      <c r="D792" s="1">
        <v>34349</v>
      </c>
      <c r="E792" s="1">
        <v>382484</v>
      </c>
      <c r="F792" s="2">
        <v>68700</v>
      </c>
    </row>
    <row r="793" spans="1:6" x14ac:dyDescent="0.25">
      <c r="A793">
        <v>2019</v>
      </c>
      <c r="B793" t="s">
        <v>57</v>
      </c>
      <c r="C793" t="s">
        <v>24</v>
      </c>
      <c r="D793" s="1">
        <v>9482</v>
      </c>
      <c r="E793" s="1">
        <v>43417</v>
      </c>
      <c r="F793" s="2">
        <v>54553</v>
      </c>
    </row>
    <row r="794" spans="1:6" x14ac:dyDescent="0.25">
      <c r="A794">
        <v>2019</v>
      </c>
      <c r="B794" t="s">
        <v>57</v>
      </c>
      <c r="C794" t="s">
        <v>25</v>
      </c>
      <c r="D794" s="1">
        <v>11737</v>
      </c>
      <c r="E794" s="1">
        <v>120560</v>
      </c>
      <c r="F794" s="2">
        <v>60603</v>
      </c>
    </row>
    <row r="795" spans="1:6" x14ac:dyDescent="0.25">
      <c r="A795">
        <v>2019</v>
      </c>
      <c r="B795" t="s">
        <v>57</v>
      </c>
      <c r="C795" t="s">
        <v>26</v>
      </c>
      <c r="D795" s="1">
        <v>20106</v>
      </c>
      <c r="E795" s="1">
        <v>196204</v>
      </c>
      <c r="F795" s="2">
        <v>62008</v>
      </c>
    </row>
    <row r="796" spans="1:6" x14ac:dyDescent="0.25">
      <c r="A796">
        <v>2019</v>
      </c>
      <c r="B796" t="s">
        <v>57</v>
      </c>
      <c r="C796" t="s">
        <v>27</v>
      </c>
      <c r="D796" s="1">
        <v>12808</v>
      </c>
      <c r="E796" s="1">
        <v>83513</v>
      </c>
      <c r="F796" s="2">
        <v>80647</v>
      </c>
    </row>
    <row r="797" spans="1:6" x14ac:dyDescent="0.25">
      <c r="A797">
        <v>2019</v>
      </c>
      <c r="B797" t="s">
        <v>57</v>
      </c>
      <c r="C797" t="s">
        <v>28</v>
      </c>
      <c r="D797" s="1">
        <v>52040</v>
      </c>
      <c r="E797" s="1">
        <v>677810</v>
      </c>
      <c r="F797" s="2">
        <v>94022</v>
      </c>
    </row>
    <row r="798" spans="1:6" x14ac:dyDescent="0.25">
      <c r="A798">
        <v>2019</v>
      </c>
      <c r="B798" t="s">
        <v>57</v>
      </c>
      <c r="C798" t="s">
        <v>29</v>
      </c>
      <c r="D798" s="1">
        <v>11347</v>
      </c>
      <c r="E798" s="1">
        <v>111478</v>
      </c>
      <c r="F798" s="2">
        <v>64156</v>
      </c>
    </row>
    <row r="799" spans="1:6" x14ac:dyDescent="0.25">
      <c r="A799">
        <v>2019</v>
      </c>
      <c r="B799" t="s">
        <v>57</v>
      </c>
      <c r="C799" t="s">
        <v>30</v>
      </c>
      <c r="D799" s="1">
        <v>112890</v>
      </c>
      <c r="E799" s="1">
        <v>1368950</v>
      </c>
      <c r="F799" s="2">
        <v>99615</v>
      </c>
    </row>
    <row r="800" spans="1:6" x14ac:dyDescent="0.25">
      <c r="A800">
        <v>2019</v>
      </c>
      <c r="B800" t="s">
        <v>57</v>
      </c>
      <c r="C800" t="s">
        <v>31</v>
      </c>
      <c r="D800" s="1">
        <v>61321</v>
      </c>
      <c r="E800" s="1">
        <v>649747</v>
      </c>
      <c r="F800" s="2">
        <v>67705</v>
      </c>
    </row>
    <row r="801" spans="1:6" x14ac:dyDescent="0.25">
      <c r="A801">
        <v>2019</v>
      </c>
      <c r="B801" t="s">
        <v>57</v>
      </c>
      <c r="C801" t="s">
        <v>32</v>
      </c>
      <c r="D801" s="1">
        <v>5198</v>
      </c>
      <c r="E801" s="1">
        <v>32856</v>
      </c>
      <c r="F801" s="2">
        <v>63897</v>
      </c>
    </row>
    <row r="802" spans="1:6" x14ac:dyDescent="0.25">
      <c r="A802">
        <v>2019</v>
      </c>
      <c r="B802" t="s">
        <v>57</v>
      </c>
      <c r="C802" t="s">
        <v>33</v>
      </c>
      <c r="D802" s="1">
        <v>54330</v>
      </c>
      <c r="E802" s="1">
        <v>734963</v>
      </c>
      <c r="F802" s="2">
        <v>66752</v>
      </c>
    </row>
    <row r="803" spans="1:6" x14ac:dyDescent="0.25">
      <c r="A803">
        <v>2019</v>
      </c>
      <c r="B803" t="s">
        <v>57</v>
      </c>
      <c r="C803" t="s">
        <v>34</v>
      </c>
      <c r="D803" s="1">
        <v>21148</v>
      </c>
      <c r="E803" s="1">
        <v>194601</v>
      </c>
      <c r="F803" s="2">
        <v>54841</v>
      </c>
    </row>
    <row r="804" spans="1:6" x14ac:dyDescent="0.25">
      <c r="A804">
        <v>2019</v>
      </c>
      <c r="B804" t="s">
        <v>57</v>
      </c>
      <c r="C804" t="s">
        <v>35</v>
      </c>
      <c r="D804" s="1">
        <v>26161</v>
      </c>
      <c r="E804" s="1">
        <v>253667</v>
      </c>
      <c r="F804" s="2">
        <v>73460</v>
      </c>
    </row>
    <row r="805" spans="1:6" x14ac:dyDescent="0.25">
      <c r="A805">
        <v>2019</v>
      </c>
      <c r="B805" t="s">
        <v>57</v>
      </c>
      <c r="C805" t="s">
        <v>36</v>
      </c>
      <c r="D805" s="1">
        <v>64541</v>
      </c>
      <c r="E805" s="1">
        <v>816358</v>
      </c>
      <c r="F805" s="2">
        <v>81681</v>
      </c>
    </row>
    <row r="806" spans="1:6" x14ac:dyDescent="0.25">
      <c r="A806">
        <v>2019</v>
      </c>
      <c r="B806" t="s">
        <v>57</v>
      </c>
      <c r="C806" t="s">
        <v>37</v>
      </c>
      <c r="D806" s="1">
        <v>9043</v>
      </c>
      <c r="E806" s="1">
        <v>68259</v>
      </c>
      <c r="F806" s="2">
        <v>68454</v>
      </c>
    </row>
    <row r="807" spans="1:6" x14ac:dyDescent="0.25">
      <c r="A807">
        <v>2019</v>
      </c>
      <c r="B807" t="s">
        <v>57</v>
      </c>
      <c r="C807" t="s">
        <v>38</v>
      </c>
      <c r="D807" s="1">
        <v>29329</v>
      </c>
      <c r="E807" s="1">
        <v>298404</v>
      </c>
      <c r="F807" s="2">
        <v>52492</v>
      </c>
    </row>
    <row r="808" spans="1:6" x14ac:dyDescent="0.25">
      <c r="A808">
        <v>2019</v>
      </c>
      <c r="B808" t="s">
        <v>57</v>
      </c>
      <c r="C808" t="s">
        <v>39</v>
      </c>
      <c r="D808" s="1">
        <v>5498</v>
      </c>
      <c r="E808" s="1">
        <v>33117</v>
      </c>
      <c r="F808" s="2">
        <v>58619</v>
      </c>
    </row>
    <row r="809" spans="1:6" x14ac:dyDescent="0.25">
      <c r="A809">
        <v>2019</v>
      </c>
      <c r="B809" t="s">
        <v>57</v>
      </c>
      <c r="C809" t="s">
        <v>40</v>
      </c>
      <c r="D809" s="1">
        <v>30774</v>
      </c>
      <c r="E809" s="1">
        <v>425933</v>
      </c>
      <c r="F809" s="2">
        <v>62990</v>
      </c>
    </row>
    <row r="810" spans="1:6" x14ac:dyDescent="0.25">
      <c r="A810">
        <v>2019</v>
      </c>
      <c r="B810" t="s">
        <v>57</v>
      </c>
      <c r="C810" t="s">
        <v>41</v>
      </c>
      <c r="D810" s="1">
        <v>139953</v>
      </c>
      <c r="E810" s="1">
        <v>1794316</v>
      </c>
      <c r="F810" s="2">
        <v>77197</v>
      </c>
    </row>
    <row r="811" spans="1:6" x14ac:dyDescent="0.25">
      <c r="A811">
        <v>2019</v>
      </c>
      <c r="B811" t="s">
        <v>57</v>
      </c>
      <c r="C811" t="s">
        <v>42</v>
      </c>
      <c r="D811" s="1">
        <v>24485</v>
      </c>
      <c r="E811" s="1">
        <v>221851</v>
      </c>
      <c r="F811" s="2">
        <v>64641</v>
      </c>
    </row>
    <row r="812" spans="1:6" x14ac:dyDescent="0.25">
      <c r="A812">
        <v>2019</v>
      </c>
      <c r="B812" t="s">
        <v>57</v>
      </c>
      <c r="C812" t="s">
        <v>43</v>
      </c>
      <c r="D812" s="1">
        <v>5970</v>
      </c>
      <c r="E812" s="1">
        <v>29394</v>
      </c>
      <c r="F812" s="2">
        <v>68986</v>
      </c>
    </row>
    <row r="813" spans="1:6" x14ac:dyDescent="0.25">
      <c r="A813">
        <v>2019</v>
      </c>
      <c r="B813" t="s">
        <v>57</v>
      </c>
      <c r="C813" t="s">
        <v>44</v>
      </c>
      <c r="D813" s="1">
        <v>59342</v>
      </c>
      <c r="E813" s="1">
        <v>762590</v>
      </c>
      <c r="F813" s="2">
        <v>90327</v>
      </c>
    </row>
    <row r="814" spans="1:6" x14ac:dyDescent="0.25">
      <c r="A814">
        <v>2019</v>
      </c>
      <c r="B814" t="s">
        <v>57</v>
      </c>
      <c r="C814" t="s">
        <v>45</v>
      </c>
      <c r="D814" s="1">
        <v>41249</v>
      </c>
      <c r="E814" s="1">
        <v>425615</v>
      </c>
      <c r="F814" s="2">
        <v>85460</v>
      </c>
    </row>
    <row r="815" spans="1:6" x14ac:dyDescent="0.25">
      <c r="A815">
        <v>2019</v>
      </c>
      <c r="B815" t="s">
        <v>57</v>
      </c>
      <c r="C815" t="s">
        <v>46</v>
      </c>
      <c r="D815" s="1">
        <v>8381</v>
      </c>
      <c r="E815" s="1">
        <v>69069</v>
      </c>
      <c r="F815" s="2">
        <v>52180</v>
      </c>
    </row>
    <row r="816" spans="1:6" x14ac:dyDescent="0.25">
      <c r="A816">
        <v>2019</v>
      </c>
      <c r="B816" t="s">
        <v>57</v>
      </c>
      <c r="C816" t="s">
        <v>47</v>
      </c>
      <c r="D816" s="1">
        <v>26927</v>
      </c>
      <c r="E816" s="1">
        <v>326120</v>
      </c>
      <c r="F816" s="2">
        <v>63192</v>
      </c>
    </row>
    <row r="817" spans="1:6" x14ac:dyDescent="0.25">
      <c r="A817">
        <v>2019</v>
      </c>
      <c r="B817" t="s">
        <v>57</v>
      </c>
      <c r="C817" t="s">
        <v>48</v>
      </c>
      <c r="D817" s="1">
        <v>4728</v>
      </c>
      <c r="E817" s="1">
        <v>19196</v>
      </c>
      <c r="F817" s="2">
        <v>56253</v>
      </c>
    </row>
    <row r="818" spans="1:6" x14ac:dyDescent="0.25">
      <c r="A818">
        <v>2019</v>
      </c>
      <c r="B818" t="s">
        <v>58</v>
      </c>
      <c r="C818" t="s">
        <v>1</v>
      </c>
      <c r="D818" s="1">
        <v>13692</v>
      </c>
      <c r="E818" s="1">
        <v>238078</v>
      </c>
      <c r="F818" s="2">
        <v>47785</v>
      </c>
    </row>
    <row r="819" spans="1:6" x14ac:dyDescent="0.25">
      <c r="A819">
        <v>2019</v>
      </c>
      <c r="B819" t="s">
        <v>58</v>
      </c>
      <c r="C819" t="s">
        <v>2</v>
      </c>
      <c r="D819" s="1">
        <v>19924</v>
      </c>
      <c r="E819" s="1">
        <v>457984</v>
      </c>
      <c r="F819" s="2">
        <v>52632</v>
      </c>
    </row>
    <row r="820" spans="1:6" x14ac:dyDescent="0.25">
      <c r="A820">
        <v>2019</v>
      </c>
      <c r="B820" t="s">
        <v>58</v>
      </c>
      <c r="C820" t="s">
        <v>3</v>
      </c>
      <c r="D820" s="1">
        <v>15780</v>
      </c>
      <c r="E820" s="1">
        <v>187607</v>
      </c>
      <c r="F820" s="2">
        <v>43983</v>
      </c>
    </row>
    <row r="821" spans="1:6" x14ac:dyDescent="0.25">
      <c r="A821">
        <v>2019</v>
      </c>
      <c r="B821" t="s">
        <v>58</v>
      </c>
      <c r="C821" t="s">
        <v>4</v>
      </c>
      <c r="D821" s="1">
        <v>639529</v>
      </c>
      <c r="E821" s="1">
        <v>2734574</v>
      </c>
      <c r="F821" s="2">
        <v>53909</v>
      </c>
    </row>
    <row r="822" spans="1:6" x14ac:dyDescent="0.25">
      <c r="A822">
        <v>2019</v>
      </c>
      <c r="B822" t="s">
        <v>58</v>
      </c>
      <c r="C822" t="s">
        <v>5</v>
      </c>
      <c r="D822" s="1">
        <v>21747</v>
      </c>
      <c r="E822" s="1">
        <v>341496</v>
      </c>
      <c r="F822" s="2">
        <v>51600</v>
      </c>
    </row>
    <row r="823" spans="1:6" x14ac:dyDescent="0.25">
      <c r="A823">
        <v>2019</v>
      </c>
      <c r="B823" t="s">
        <v>58</v>
      </c>
      <c r="C823" t="s">
        <v>6</v>
      </c>
      <c r="D823" s="1">
        <v>13478</v>
      </c>
      <c r="E823" s="1">
        <v>330418</v>
      </c>
      <c r="F823" s="2">
        <v>57419</v>
      </c>
    </row>
    <row r="824" spans="1:6" x14ac:dyDescent="0.25">
      <c r="A824">
        <v>2019</v>
      </c>
      <c r="B824" t="s">
        <v>58</v>
      </c>
      <c r="C824" t="s">
        <v>7</v>
      </c>
      <c r="D824" s="1">
        <v>5386</v>
      </c>
      <c r="E824" s="1">
        <v>76932</v>
      </c>
      <c r="F824" s="2">
        <v>55284</v>
      </c>
    </row>
    <row r="825" spans="1:6" x14ac:dyDescent="0.25">
      <c r="A825">
        <v>2019</v>
      </c>
      <c r="B825" t="s">
        <v>58</v>
      </c>
      <c r="C825" t="s">
        <v>8</v>
      </c>
      <c r="D825" s="1">
        <v>76615</v>
      </c>
      <c r="E825" s="1">
        <v>1324281</v>
      </c>
      <c r="F825" s="2">
        <v>52039</v>
      </c>
    </row>
    <row r="826" spans="1:6" x14ac:dyDescent="0.25">
      <c r="A826">
        <v>2019</v>
      </c>
      <c r="B826" t="s">
        <v>58</v>
      </c>
      <c r="C826" t="s">
        <v>9</v>
      </c>
      <c r="D826" s="1">
        <v>29998</v>
      </c>
      <c r="E826" s="1">
        <v>580134</v>
      </c>
      <c r="F826" s="2">
        <v>53810</v>
      </c>
    </row>
    <row r="827" spans="1:6" x14ac:dyDescent="0.25">
      <c r="A827">
        <v>2019</v>
      </c>
      <c r="B827" t="s">
        <v>58</v>
      </c>
      <c r="C827" t="s">
        <v>10</v>
      </c>
      <c r="D827" s="1">
        <v>8163</v>
      </c>
      <c r="E827" s="1">
        <v>105424</v>
      </c>
      <c r="F827" s="2">
        <v>43475</v>
      </c>
    </row>
    <row r="828" spans="1:6" x14ac:dyDescent="0.25">
      <c r="A828">
        <v>2019</v>
      </c>
      <c r="B828" t="s">
        <v>58</v>
      </c>
      <c r="C828" t="s">
        <v>11</v>
      </c>
      <c r="D828" s="1">
        <v>35102</v>
      </c>
      <c r="E828" s="1">
        <v>924699</v>
      </c>
      <c r="F828" s="2">
        <v>52038</v>
      </c>
    </row>
    <row r="829" spans="1:6" x14ac:dyDescent="0.25">
      <c r="A829">
        <v>2019</v>
      </c>
      <c r="B829" t="s">
        <v>58</v>
      </c>
      <c r="C829" t="s">
        <v>12</v>
      </c>
      <c r="D829" s="1">
        <v>16247</v>
      </c>
      <c r="E829" s="1">
        <v>468491</v>
      </c>
      <c r="F829" s="2">
        <v>49107</v>
      </c>
    </row>
    <row r="830" spans="1:6" x14ac:dyDescent="0.25">
      <c r="A830">
        <v>2019</v>
      </c>
      <c r="B830" t="s">
        <v>58</v>
      </c>
      <c r="C830" t="s">
        <v>13</v>
      </c>
      <c r="D830" s="1">
        <v>11966</v>
      </c>
      <c r="E830" s="1">
        <v>219013</v>
      </c>
      <c r="F830" s="2">
        <v>44392</v>
      </c>
    </row>
    <row r="831" spans="1:6" x14ac:dyDescent="0.25">
      <c r="A831">
        <v>2019</v>
      </c>
      <c r="B831" t="s">
        <v>58</v>
      </c>
      <c r="C831" t="s">
        <v>14</v>
      </c>
      <c r="D831" s="1">
        <v>10085</v>
      </c>
      <c r="E831" s="1">
        <v>197874</v>
      </c>
      <c r="F831" s="2">
        <v>43909</v>
      </c>
    </row>
    <row r="832" spans="1:6" x14ac:dyDescent="0.25">
      <c r="A832">
        <v>2019</v>
      </c>
      <c r="B832" t="s">
        <v>58</v>
      </c>
      <c r="C832" t="s">
        <v>15</v>
      </c>
      <c r="D832" s="1">
        <v>18442</v>
      </c>
      <c r="E832" s="1">
        <v>272579</v>
      </c>
      <c r="F832" s="2">
        <v>49141</v>
      </c>
    </row>
    <row r="833" spans="1:6" x14ac:dyDescent="0.25">
      <c r="A833">
        <v>2019</v>
      </c>
      <c r="B833" t="s">
        <v>58</v>
      </c>
      <c r="C833" t="s">
        <v>16</v>
      </c>
      <c r="D833" s="1">
        <v>16110</v>
      </c>
      <c r="E833" s="1">
        <v>305742</v>
      </c>
      <c r="F833" s="2">
        <v>44832</v>
      </c>
    </row>
    <row r="834" spans="1:6" x14ac:dyDescent="0.25">
      <c r="A834">
        <v>2019</v>
      </c>
      <c r="B834" t="s">
        <v>58</v>
      </c>
      <c r="C834" t="s">
        <v>17</v>
      </c>
      <c r="D834" s="1">
        <v>5474</v>
      </c>
      <c r="E834" s="1">
        <v>120085</v>
      </c>
      <c r="F834" s="2">
        <v>49342</v>
      </c>
    </row>
    <row r="835" spans="1:6" x14ac:dyDescent="0.25">
      <c r="A835">
        <v>2019</v>
      </c>
      <c r="B835" t="s">
        <v>58</v>
      </c>
      <c r="C835" t="s">
        <v>18</v>
      </c>
      <c r="D835" s="1">
        <v>21419</v>
      </c>
      <c r="E835" s="1">
        <v>451332</v>
      </c>
      <c r="F835" s="2">
        <v>55476</v>
      </c>
    </row>
    <row r="836" spans="1:6" x14ac:dyDescent="0.25">
      <c r="A836">
        <v>2019</v>
      </c>
      <c r="B836" t="s">
        <v>58</v>
      </c>
      <c r="C836" t="s">
        <v>19</v>
      </c>
      <c r="D836" s="1">
        <v>68761</v>
      </c>
      <c r="E836" s="1">
        <v>790552</v>
      </c>
      <c r="F836" s="2">
        <v>59886</v>
      </c>
    </row>
    <row r="837" spans="1:6" x14ac:dyDescent="0.25">
      <c r="A837">
        <v>2019</v>
      </c>
      <c r="B837" t="s">
        <v>58</v>
      </c>
      <c r="C837" t="s">
        <v>20</v>
      </c>
      <c r="D837" s="1">
        <v>25357</v>
      </c>
      <c r="E837" s="1">
        <v>661203</v>
      </c>
      <c r="F837" s="2">
        <v>50845</v>
      </c>
    </row>
    <row r="838" spans="1:6" x14ac:dyDescent="0.25">
      <c r="A838">
        <v>2019</v>
      </c>
      <c r="B838" t="s">
        <v>58</v>
      </c>
      <c r="C838" t="s">
        <v>21</v>
      </c>
      <c r="D838" s="1">
        <v>20728</v>
      </c>
      <c r="E838" s="1">
        <v>530749</v>
      </c>
      <c r="F838" s="2">
        <v>52656</v>
      </c>
    </row>
    <row r="839" spans="1:6" x14ac:dyDescent="0.25">
      <c r="A839">
        <v>2019</v>
      </c>
      <c r="B839" t="s">
        <v>58</v>
      </c>
      <c r="C839" t="s">
        <v>22</v>
      </c>
      <c r="D839" s="1">
        <v>7557</v>
      </c>
      <c r="E839" s="1">
        <v>146077</v>
      </c>
      <c r="F839" s="2">
        <v>42620</v>
      </c>
    </row>
    <row r="840" spans="1:6" x14ac:dyDescent="0.25">
      <c r="A840">
        <v>2019</v>
      </c>
      <c r="B840" t="s">
        <v>58</v>
      </c>
      <c r="C840" t="s">
        <v>23</v>
      </c>
      <c r="D840" s="1">
        <v>52078</v>
      </c>
      <c r="E840" s="1">
        <v>462462</v>
      </c>
      <c r="F840" s="2">
        <v>47562</v>
      </c>
    </row>
    <row r="841" spans="1:6" x14ac:dyDescent="0.25">
      <c r="A841">
        <v>2019</v>
      </c>
      <c r="B841" t="s">
        <v>58</v>
      </c>
      <c r="C841" t="s">
        <v>24</v>
      </c>
      <c r="D841" s="1">
        <v>4834</v>
      </c>
      <c r="E841" s="1">
        <v>74646</v>
      </c>
      <c r="F841" s="2">
        <v>49258</v>
      </c>
    </row>
    <row r="842" spans="1:6" x14ac:dyDescent="0.25">
      <c r="A842">
        <v>2019</v>
      </c>
      <c r="B842" t="s">
        <v>58</v>
      </c>
      <c r="C842" t="s">
        <v>25</v>
      </c>
      <c r="D842" s="1">
        <v>11559</v>
      </c>
      <c r="E842" s="1">
        <v>139275</v>
      </c>
      <c r="F842" s="2">
        <v>48735</v>
      </c>
    </row>
    <row r="843" spans="1:6" x14ac:dyDescent="0.25">
      <c r="A843">
        <v>2019</v>
      </c>
      <c r="B843" t="s">
        <v>58</v>
      </c>
      <c r="C843" t="s">
        <v>26</v>
      </c>
      <c r="D843" s="1">
        <v>8934</v>
      </c>
      <c r="E843" s="1">
        <v>143417</v>
      </c>
      <c r="F843" s="2">
        <v>54808</v>
      </c>
    </row>
    <row r="844" spans="1:6" x14ac:dyDescent="0.25">
      <c r="A844">
        <v>2019</v>
      </c>
      <c r="B844" t="s">
        <v>58</v>
      </c>
      <c r="C844" t="s">
        <v>27</v>
      </c>
      <c r="D844" s="1">
        <v>4773</v>
      </c>
      <c r="E844" s="1">
        <v>114430</v>
      </c>
      <c r="F844" s="2">
        <v>58363</v>
      </c>
    </row>
    <row r="845" spans="1:6" x14ac:dyDescent="0.25">
      <c r="A845">
        <v>2019</v>
      </c>
      <c r="B845" t="s">
        <v>58</v>
      </c>
      <c r="C845" t="s">
        <v>28</v>
      </c>
      <c r="D845" s="1">
        <v>40687</v>
      </c>
      <c r="E845" s="1">
        <v>670070</v>
      </c>
      <c r="F845" s="2">
        <v>55124</v>
      </c>
    </row>
    <row r="846" spans="1:6" x14ac:dyDescent="0.25">
      <c r="A846">
        <v>2019</v>
      </c>
      <c r="B846" t="s">
        <v>58</v>
      </c>
      <c r="C846" t="s">
        <v>29</v>
      </c>
      <c r="D846" s="1">
        <v>10974</v>
      </c>
      <c r="E846" s="1">
        <v>130181</v>
      </c>
      <c r="F846" s="2">
        <v>42852</v>
      </c>
    </row>
    <row r="847" spans="1:6" x14ac:dyDescent="0.25">
      <c r="A847">
        <v>2019</v>
      </c>
      <c r="B847" t="s">
        <v>58</v>
      </c>
      <c r="C847" t="s">
        <v>30</v>
      </c>
      <c r="D847" s="1">
        <v>67202</v>
      </c>
      <c r="E847" s="1">
        <v>1981493</v>
      </c>
      <c r="F847" s="2">
        <v>54638</v>
      </c>
    </row>
    <row r="848" spans="1:6" x14ac:dyDescent="0.25">
      <c r="A848">
        <v>2019</v>
      </c>
      <c r="B848" t="s">
        <v>58</v>
      </c>
      <c r="C848" t="s">
        <v>31</v>
      </c>
      <c r="D848" s="1">
        <v>28199</v>
      </c>
      <c r="E848" s="1">
        <v>606564</v>
      </c>
      <c r="F848" s="2">
        <v>50123</v>
      </c>
    </row>
    <row r="849" spans="1:6" x14ac:dyDescent="0.25">
      <c r="A849">
        <v>2019</v>
      </c>
      <c r="B849" t="s">
        <v>58</v>
      </c>
      <c r="C849" t="s">
        <v>32</v>
      </c>
      <c r="D849" s="1">
        <v>2581</v>
      </c>
      <c r="E849" s="1">
        <v>65771</v>
      </c>
      <c r="F849" s="2">
        <v>52585</v>
      </c>
    </row>
    <row r="850" spans="1:6" x14ac:dyDescent="0.25">
      <c r="A850">
        <v>2019</v>
      </c>
      <c r="B850" t="s">
        <v>58</v>
      </c>
      <c r="C850" t="s">
        <v>33</v>
      </c>
      <c r="D850" s="1">
        <v>35525</v>
      </c>
      <c r="E850" s="1">
        <v>908891</v>
      </c>
      <c r="F850" s="2">
        <v>47891</v>
      </c>
    </row>
    <row r="851" spans="1:6" x14ac:dyDescent="0.25">
      <c r="A851">
        <v>2019</v>
      </c>
      <c r="B851" t="s">
        <v>58</v>
      </c>
      <c r="C851" t="s">
        <v>34</v>
      </c>
      <c r="D851" s="1">
        <v>13345</v>
      </c>
      <c r="E851" s="1">
        <v>213244</v>
      </c>
      <c r="F851" s="2">
        <v>46841</v>
      </c>
    </row>
    <row r="852" spans="1:6" x14ac:dyDescent="0.25">
      <c r="A852">
        <v>2019</v>
      </c>
      <c r="B852" t="s">
        <v>58</v>
      </c>
      <c r="C852" t="s">
        <v>35</v>
      </c>
      <c r="D852" s="1">
        <v>16113</v>
      </c>
      <c r="E852" s="1">
        <v>295311</v>
      </c>
      <c r="F852" s="2">
        <v>51842</v>
      </c>
    </row>
    <row r="853" spans="1:6" x14ac:dyDescent="0.25">
      <c r="A853">
        <v>2019</v>
      </c>
      <c r="B853" t="s">
        <v>58</v>
      </c>
      <c r="C853" t="s">
        <v>36</v>
      </c>
      <c r="D853" s="1">
        <v>57945</v>
      </c>
      <c r="E853" s="1">
        <v>1230922</v>
      </c>
      <c r="F853" s="2">
        <v>53416</v>
      </c>
    </row>
    <row r="854" spans="1:6" x14ac:dyDescent="0.25">
      <c r="A854">
        <v>2019</v>
      </c>
      <c r="B854" t="s">
        <v>58</v>
      </c>
      <c r="C854" t="s">
        <v>37</v>
      </c>
      <c r="D854" s="1">
        <v>4664</v>
      </c>
      <c r="E854" s="1">
        <v>102395</v>
      </c>
      <c r="F854" s="2">
        <v>50458</v>
      </c>
    </row>
    <row r="855" spans="1:6" x14ac:dyDescent="0.25">
      <c r="A855">
        <v>2019</v>
      </c>
      <c r="B855" t="s">
        <v>58</v>
      </c>
      <c r="C855" t="s">
        <v>38</v>
      </c>
      <c r="D855" s="1">
        <v>12757</v>
      </c>
      <c r="E855" s="1">
        <v>237600</v>
      </c>
      <c r="F855" s="2">
        <v>47296</v>
      </c>
    </row>
    <row r="856" spans="1:6" x14ac:dyDescent="0.25">
      <c r="A856">
        <v>2019</v>
      </c>
      <c r="B856" t="s">
        <v>58</v>
      </c>
      <c r="C856" t="s">
        <v>39</v>
      </c>
      <c r="D856" s="1">
        <v>2904</v>
      </c>
      <c r="E856" s="1">
        <v>68913</v>
      </c>
      <c r="F856" s="2">
        <v>52412</v>
      </c>
    </row>
    <row r="857" spans="1:6" x14ac:dyDescent="0.25">
      <c r="A857">
        <v>2019</v>
      </c>
      <c r="B857" t="s">
        <v>58</v>
      </c>
      <c r="C857" t="s">
        <v>40</v>
      </c>
      <c r="D857" s="1">
        <v>16563</v>
      </c>
      <c r="E857" s="1">
        <v>427328</v>
      </c>
      <c r="F857" s="2">
        <v>53183</v>
      </c>
    </row>
    <row r="858" spans="1:6" x14ac:dyDescent="0.25">
      <c r="A858">
        <v>2019</v>
      </c>
      <c r="B858" t="s">
        <v>58</v>
      </c>
      <c r="C858" t="s">
        <v>41</v>
      </c>
      <c r="D858" s="1">
        <v>94237</v>
      </c>
      <c r="E858" s="1">
        <v>1684606</v>
      </c>
      <c r="F858" s="2">
        <v>49322</v>
      </c>
    </row>
    <row r="859" spans="1:6" x14ac:dyDescent="0.25">
      <c r="A859">
        <v>2019</v>
      </c>
      <c r="B859" t="s">
        <v>58</v>
      </c>
      <c r="C859" t="s">
        <v>42</v>
      </c>
      <c r="D859" s="1">
        <v>12857</v>
      </c>
      <c r="E859" s="1">
        <v>193373</v>
      </c>
      <c r="F859" s="2">
        <v>44983</v>
      </c>
    </row>
    <row r="860" spans="1:6" x14ac:dyDescent="0.25">
      <c r="A860">
        <v>2019</v>
      </c>
      <c r="B860" t="s">
        <v>58</v>
      </c>
      <c r="C860" t="s">
        <v>43</v>
      </c>
      <c r="D860" s="1">
        <v>2503</v>
      </c>
      <c r="E860" s="1">
        <v>62317</v>
      </c>
      <c r="F860" s="2">
        <v>48501</v>
      </c>
    </row>
    <row r="861" spans="1:6" x14ac:dyDescent="0.25">
      <c r="A861">
        <v>2019</v>
      </c>
      <c r="B861" t="s">
        <v>58</v>
      </c>
      <c r="C861" t="s">
        <v>44</v>
      </c>
      <c r="D861" s="1">
        <v>50144</v>
      </c>
      <c r="E861" s="1">
        <v>517645</v>
      </c>
      <c r="F861" s="2">
        <v>50876</v>
      </c>
    </row>
    <row r="862" spans="1:6" x14ac:dyDescent="0.25">
      <c r="A862">
        <v>2019</v>
      </c>
      <c r="B862" t="s">
        <v>58</v>
      </c>
      <c r="C862" t="s">
        <v>45</v>
      </c>
      <c r="D862" s="1">
        <v>64023</v>
      </c>
      <c r="E862" s="1">
        <v>478274</v>
      </c>
      <c r="F862" s="2">
        <v>53267</v>
      </c>
    </row>
    <row r="863" spans="1:6" x14ac:dyDescent="0.25">
      <c r="A863">
        <v>2019</v>
      </c>
      <c r="B863" t="s">
        <v>58</v>
      </c>
      <c r="C863" t="s">
        <v>46</v>
      </c>
      <c r="D863" s="1">
        <v>5755</v>
      </c>
      <c r="E863" s="1">
        <v>125528</v>
      </c>
      <c r="F863" s="2">
        <v>47876</v>
      </c>
    </row>
    <row r="864" spans="1:6" x14ac:dyDescent="0.25">
      <c r="A864">
        <v>2019</v>
      </c>
      <c r="B864" t="s">
        <v>58</v>
      </c>
      <c r="C864" t="s">
        <v>47</v>
      </c>
      <c r="D864" s="1">
        <v>29257</v>
      </c>
      <c r="E864" s="1">
        <v>440255</v>
      </c>
      <c r="F864" s="2">
        <v>50951</v>
      </c>
    </row>
    <row r="865" spans="1:6" x14ac:dyDescent="0.25">
      <c r="A865">
        <v>2019</v>
      </c>
      <c r="B865" t="s">
        <v>58</v>
      </c>
      <c r="C865" t="s">
        <v>48</v>
      </c>
      <c r="D865" s="1">
        <v>3384</v>
      </c>
      <c r="E865" s="1">
        <v>27323</v>
      </c>
      <c r="F865" s="2">
        <v>44083</v>
      </c>
    </row>
    <row r="866" spans="1:6" x14ac:dyDescent="0.25">
      <c r="A866">
        <v>2019</v>
      </c>
      <c r="B866" t="s">
        <v>59</v>
      </c>
      <c r="C866" t="s">
        <v>1</v>
      </c>
      <c r="D866" s="1">
        <v>11180</v>
      </c>
      <c r="E866" s="1">
        <v>208446</v>
      </c>
      <c r="F866" s="2">
        <v>17618</v>
      </c>
    </row>
    <row r="867" spans="1:6" x14ac:dyDescent="0.25">
      <c r="A867">
        <v>2019</v>
      </c>
      <c r="B867" t="s">
        <v>59</v>
      </c>
      <c r="C867" t="s">
        <v>2</v>
      </c>
      <c r="D867" s="1">
        <v>14256</v>
      </c>
      <c r="E867" s="1">
        <v>331295</v>
      </c>
      <c r="F867" s="2">
        <v>25557</v>
      </c>
    </row>
    <row r="868" spans="1:6" x14ac:dyDescent="0.25">
      <c r="A868">
        <v>2019</v>
      </c>
      <c r="B868" t="s">
        <v>59</v>
      </c>
      <c r="C868" t="s">
        <v>3</v>
      </c>
      <c r="D868" s="1">
        <v>7315</v>
      </c>
      <c r="E868" s="1">
        <v>120644</v>
      </c>
      <c r="F868" s="2">
        <v>17299</v>
      </c>
    </row>
    <row r="869" spans="1:6" x14ac:dyDescent="0.25">
      <c r="A869">
        <v>2019</v>
      </c>
      <c r="B869" t="s">
        <v>59</v>
      </c>
      <c r="C869" t="s">
        <v>4</v>
      </c>
      <c r="D869" s="1">
        <v>116191</v>
      </c>
      <c r="E869" s="1">
        <v>2034920</v>
      </c>
      <c r="F869" s="2">
        <v>32379</v>
      </c>
    </row>
    <row r="870" spans="1:6" x14ac:dyDescent="0.25">
      <c r="A870">
        <v>2019</v>
      </c>
      <c r="B870" t="s">
        <v>59</v>
      </c>
      <c r="C870" t="s">
        <v>5</v>
      </c>
      <c r="D870" s="1">
        <v>17317</v>
      </c>
      <c r="E870" s="1">
        <v>344935</v>
      </c>
      <c r="F870" s="2">
        <v>27131</v>
      </c>
    </row>
    <row r="871" spans="1:6" x14ac:dyDescent="0.25">
      <c r="A871">
        <v>2019</v>
      </c>
      <c r="B871" t="s">
        <v>59</v>
      </c>
      <c r="C871" t="s">
        <v>6</v>
      </c>
      <c r="D871" s="1">
        <v>10917</v>
      </c>
      <c r="E871" s="1">
        <v>157574</v>
      </c>
      <c r="F871" s="2">
        <v>24451</v>
      </c>
    </row>
    <row r="872" spans="1:6" x14ac:dyDescent="0.25">
      <c r="A872">
        <v>2019</v>
      </c>
      <c r="B872" t="s">
        <v>59</v>
      </c>
      <c r="C872" t="s">
        <v>7</v>
      </c>
      <c r="D872" s="1">
        <v>2710</v>
      </c>
      <c r="E872" s="1">
        <v>53038</v>
      </c>
      <c r="F872" s="2">
        <v>21264</v>
      </c>
    </row>
    <row r="873" spans="1:6" x14ac:dyDescent="0.25">
      <c r="A873">
        <v>2019</v>
      </c>
      <c r="B873" t="s">
        <v>59</v>
      </c>
      <c r="C873" t="s">
        <v>8</v>
      </c>
      <c r="D873" s="1">
        <v>58596</v>
      </c>
      <c r="E873" s="1">
        <v>1257201</v>
      </c>
      <c r="F873" s="2">
        <v>26675</v>
      </c>
    </row>
    <row r="874" spans="1:6" x14ac:dyDescent="0.25">
      <c r="A874">
        <v>2019</v>
      </c>
      <c r="B874" t="s">
        <v>59</v>
      </c>
      <c r="C874" t="s">
        <v>9</v>
      </c>
      <c r="D874" s="1">
        <v>25254</v>
      </c>
      <c r="E874" s="1">
        <v>498529</v>
      </c>
      <c r="F874" s="2">
        <v>21342</v>
      </c>
    </row>
    <row r="875" spans="1:6" x14ac:dyDescent="0.25">
      <c r="A875">
        <v>2019</v>
      </c>
      <c r="B875" t="s">
        <v>59</v>
      </c>
      <c r="C875" t="s">
        <v>10</v>
      </c>
      <c r="D875" s="1">
        <v>5038</v>
      </c>
      <c r="E875" s="1">
        <v>82521</v>
      </c>
      <c r="F875" s="2">
        <v>17770</v>
      </c>
    </row>
    <row r="876" spans="1:6" x14ac:dyDescent="0.25">
      <c r="A876">
        <v>2019</v>
      </c>
      <c r="B876" t="s">
        <v>59</v>
      </c>
      <c r="C876" t="s">
        <v>11</v>
      </c>
      <c r="D876" s="1">
        <v>33183</v>
      </c>
      <c r="E876" s="1">
        <v>622987</v>
      </c>
      <c r="F876" s="2">
        <v>24703</v>
      </c>
    </row>
    <row r="877" spans="1:6" x14ac:dyDescent="0.25">
      <c r="A877">
        <v>2019</v>
      </c>
      <c r="B877" t="s">
        <v>59</v>
      </c>
      <c r="C877" t="s">
        <v>12</v>
      </c>
      <c r="D877" s="1">
        <v>15776</v>
      </c>
      <c r="E877" s="1">
        <v>313889</v>
      </c>
      <c r="F877" s="2">
        <v>19660</v>
      </c>
    </row>
    <row r="878" spans="1:6" x14ac:dyDescent="0.25">
      <c r="A878">
        <v>2019</v>
      </c>
      <c r="B878" t="s">
        <v>59</v>
      </c>
      <c r="C878" t="s">
        <v>13</v>
      </c>
      <c r="D878" s="1">
        <v>8796</v>
      </c>
      <c r="E878" s="1">
        <v>144265</v>
      </c>
      <c r="F878" s="2">
        <v>17261</v>
      </c>
    </row>
    <row r="879" spans="1:6" x14ac:dyDescent="0.25">
      <c r="A879">
        <v>2019</v>
      </c>
      <c r="B879" t="s">
        <v>59</v>
      </c>
      <c r="C879" t="s">
        <v>14</v>
      </c>
      <c r="D879" s="1">
        <v>6871</v>
      </c>
      <c r="E879" s="1">
        <v>130101</v>
      </c>
      <c r="F879" s="2">
        <v>17333</v>
      </c>
    </row>
    <row r="880" spans="1:6" x14ac:dyDescent="0.25">
      <c r="A880">
        <v>2019</v>
      </c>
      <c r="B880" t="s">
        <v>59</v>
      </c>
      <c r="C880" t="s">
        <v>15</v>
      </c>
      <c r="D880" s="1">
        <v>10118</v>
      </c>
      <c r="E880" s="1">
        <v>201748</v>
      </c>
      <c r="F880" s="2">
        <v>18350</v>
      </c>
    </row>
    <row r="881" spans="1:6" x14ac:dyDescent="0.25">
      <c r="A881">
        <v>2019</v>
      </c>
      <c r="B881" t="s">
        <v>59</v>
      </c>
      <c r="C881" t="s">
        <v>16</v>
      </c>
      <c r="D881" s="1">
        <v>12912</v>
      </c>
      <c r="E881" s="1">
        <v>237469</v>
      </c>
      <c r="F881" s="2">
        <v>21789</v>
      </c>
    </row>
    <row r="882" spans="1:6" x14ac:dyDescent="0.25">
      <c r="A882">
        <v>2019</v>
      </c>
      <c r="B882" t="s">
        <v>59</v>
      </c>
      <c r="C882" t="s">
        <v>17</v>
      </c>
      <c r="D882" s="1">
        <v>5132</v>
      </c>
      <c r="E882" s="1">
        <v>69501</v>
      </c>
      <c r="F882" s="2">
        <v>23169</v>
      </c>
    </row>
    <row r="883" spans="1:6" x14ac:dyDescent="0.25">
      <c r="A883">
        <v>2019</v>
      </c>
      <c r="B883" t="s">
        <v>59</v>
      </c>
      <c r="C883" t="s">
        <v>18</v>
      </c>
      <c r="D883" s="1">
        <v>15043</v>
      </c>
      <c r="E883" s="1">
        <v>282746</v>
      </c>
      <c r="F883" s="2">
        <v>24758</v>
      </c>
    </row>
    <row r="884" spans="1:6" x14ac:dyDescent="0.25">
      <c r="A884">
        <v>2019</v>
      </c>
      <c r="B884" t="s">
        <v>59</v>
      </c>
      <c r="C884" t="s">
        <v>19</v>
      </c>
      <c r="D884" s="1">
        <v>20740</v>
      </c>
      <c r="E884" s="1">
        <v>379863</v>
      </c>
      <c r="F884" s="2">
        <v>29500</v>
      </c>
    </row>
    <row r="885" spans="1:6" x14ac:dyDescent="0.25">
      <c r="A885">
        <v>2019</v>
      </c>
      <c r="B885" t="s">
        <v>59</v>
      </c>
      <c r="C885" t="s">
        <v>20</v>
      </c>
      <c r="D885" s="1">
        <v>23113</v>
      </c>
      <c r="E885" s="1">
        <v>434299</v>
      </c>
      <c r="F885" s="2">
        <v>21121</v>
      </c>
    </row>
    <row r="886" spans="1:6" x14ac:dyDescent="0.25">
      <c r="A886">
        <v>2019</v>
      </c>
      <c r="B886" t="s">
        <v>59</v>
      </c>
      <c r="C886" t="s">
        <v>21</v>
      </c>
      <c r="D886" s="1">
        <v>15325</v>
      </c>
      <c r="E886" s="1">
        <v>275608</v>
      </c>
      <c r="F886" s="2">
        <v>23261</v>
      </c>
    </row>
    <row r="887" spans="1:6" x14ac:dyDescent="0.25">
      <c r="A887">
        <v>2019</v>
      </c>
      <c r="B887" t="s">
        <v>59</v>
      </c>
      <c r="C887" t="s">
        <v>22</v>
      </c>
      <c r="D887" s="1">
        <v>6514</v>
      </c>
      <c r="E887" s="1">
        <v>136282</v>
      </c>
      <c r="F887" s="2">
        <v>17817</v>
      </c>
    </row>
    <row r="888" spans="1:6" x14ac:dyDescent="0.25">
      <c r="A888">
        <v>2019</v>
      </c>
      <c r="B888" t="s">
        <v>59</v>
      </c>
      <c r="C888" t="s">
        <v>23</v>
      </c>
      <c r="D888" s="1">
        <v>15195</v>
      </c>
      <c r="E888" s="1">
        <v>308646</v>
      </c>
      <c r="F888" s="2">
        <v>21614</v>
      </c>
    </row>
    <row r="889" spans="1:6" x14ac:dyDescent="0.25">
      <c r="A889">
        <v>2019</v>
      </c>
      <c r="B889" t="s">
        <v>59</v>
      </c>
      <c r="C889" t="s">
        <v>24</v>
      </c>
      <c r="D889" s="1">
        <v>5052</v>
      </c>
      <c r="E889" s="1">
        <v>67008</v>
      </c>
      <c r="F889" s="2">
        <v>19955</v>
      </c>
    </row>
    <row r="890" spans="1:6" x14ac:dyDescent="0.25">
      <c r="A890">
        <v>2019</v>
      </c>
      <c r="B890" t="s">
        <v>59</v>
      </c>
      <c r="C890" t="s">
        <v>25</v>
      </c>
      <c r="D890" s="1">
        <v>5609</v>
      </c>
      <c r="E890" s="1">
        <v>93856</v>
      </c>
      <c r="F890" s="2">
        <v>17213</v>
      </c>
    </row>
    <row r="891" spans="1:6" x14ac:dyDescent="0.25">
      <c r="A891">
        <v>2019</v>
      </c>
      <c r="B891" t="s">
        <v>59</v>
      </c>
      <c r="C891" t="s">
        <v>26</v>
      </c>
      <c r="D891" s="1">
        <v>8716</v>
      </c>
      <c r="E891" s="1">
        <v>355178</v>
      </c>
      <c r="F891" s="2">
        <v>34432</v>
      </c>
    </row>
    <row r="892" spans="1:6" x14ac:dyDescent="0.25">
      <c r="A892">
        <v>2019</v>
      </c>
      <c r="B892" t="s">
        <v>59</v>
      </c>
      <c r="C892" t="s">
        <v>27</v>
      </c>
      <c r="D892" s="1">
        <v>4675</v>
      </c>
      <c r="E892" s="1">
        <v>73214</v>
      </c>
      <c r="F892" s="2">
        <v>22783</v>
      </c>
    </row>
    <row r="893" spans="1:6" x14ac:dyDescent="0.25">
      <c r="A893">
        <v>2019</v>
      </c>
      <c r="B893" t="s">
        <v>59</v>
      </c>
      <c r="C893" t="s">
        <v>28</v>
      </c>
      <c r="D893" s="1">
        <v>24526</v>
      </c>
      <c r="E893" s="1">
        <v>391519</v>
      </c>
      <c r="F893" s="2">
        <v>26347</v>
      </c>
    </row>
    <row r="894" spans="1:6" x14ac:dyDescent="0.25">
      <c r="A894">
        <v>2019</v>
      </c>
      <c r="B894" t="s">
        <v>59</v>
      </c>
      <c r="C894" t="s">
        <v>29</v>
      </c>
      <c r="D894" s="1">
        <v>5277</v>
      </c>
      <c r="E894" s="1">
        <v>99656</v>
      </c>
      <c r="F894" s="2">
        <v>19571</v>
      </c>
    </row>
    <row r="895" spans="1:6" x14ac:dyDescent="0.25">
      <c r="A895">
        <v>2019</v>
      </c>
      <c r="B895" t="s">
        <v>59</v>
      </c>
      <c r="C895" t="s">
        <v>30</v>
      </c>
      <c r="D895" s="1">
        <v>65868</v>
      </c>
      <c r="E895" s="1">
        <v>957897</v>
      </c>
      <c r="F895" s="2">
        <v>35828</v>
      </c>
    </row>
    <row r="896" spans="1:6" x14ac:dyDescent="0.25">
      <c r="A896">
        <v>2019</v>
      </c>
      <c r="B896" t="s">
        <v>59</v>
      </c>
      <c r="C896" t="s">
        <v>31</v>
      </c>
      <c r="D896" s="1">
        <v>26474</v>
      </c>
      <c r="E896" s="1">
        <v>515152</v>
      </c>
      <c r="F896" s="2">
        <v>20460</v>
      </c>
    </row>
    <row r="897" spans="1:6" x14ac:dyDescent="0.25">
      <c r="A897">
        <v>2019</v>
      </c>
      <c r="B897" t="s">
        <v>59</v>
      </c>
      <c r="C897" t="s">
        <v>32</v>
      </c>
      <c r="D897" s="1">
        <v>2610</v>
      </c>
      <c r="E897" s="1">
        <v>40423</v>
      </c>
      <c r="F897" s="2">
        <v>18573</v>
      </c>
    </row>
    <row r="898" spans="1:6" x14ac:dyDescent="0.25">
      <c r="A898">
        <v>2019</v>
      </c>
      <c r="B898" t="s">
        <v>59</v>
      </c>
      <c r="C898" t="s">
        <v>33</v>
      </c>
      <c r="D898" s="1">
        <v>29035</v>
      </c>
      <c r="E898" s="1">
        <v>570254</v>
      </c>
      <c r="F898" s="2">
        <v>20197</v>
      </c>
    </row>
    <row r="899" spans="1:6" x14ac:dyDescent="0.25">
      <c r="A899">
        <v>2019</v>
      </c>
      <c r="B899" t="s">
        <v>59</v>
      </c>
      <c r="C899" t="s">
        <v>34</v>
      </c>
      <c r="D899" s="1">
        <v>9209</v>
      </c>
      <c r="E899" s="1">
        <v>174213</v>
      </c>
      <c r="F899" s="2">
        <v>18600</v>
      </c>
    </row>
    <row r="900" spans="1:6" x14ac:dyDescent="0.25">
      <c r="A900">
        <v>2019</v>
      </c>
      <c r="B900" t="s">
        <v>59</v>
      </c>
      <c r="C900" t="s">
        <v>35</v>
      </c>
      <c r="D900" s="1">
        <v>14116</v>
      </c>
      <c r="E900" s="1">
        <v>213454</v>
      </c>
      <c r="F900" s="2">
        <v>23818</v>
      </c>
    </row>
    <row r="901" spans="1:6" x14ac:dyDescent="0.25">
      <c r="A901">
        <v>2019</v>
      </c>
      <c r="B901" t="s">
        <v>59</v>
      </c>
      <c r="C901" t="s">
        <v>36</v>
      </c>
      <c r="D901" s="1">
        <v>33729</v>
      </c>
      <c r="E901" s="1">
        <v>577911</v>
      </c>
      <c r="F901" s="2">
        <v>22011</v>
      </c>
    </row>
    <row r="902" spans="1:6" x14ac:dyDescent="0.25">
      <c r="A902">
        <v>2019</v>
      </c>
      <c r="B902" t="s">
        <v>59</v>
      </c>
      <c r="C902" t="s">
        <v>37</v>
      </c>
      <c r="D902" s="1">
        <v>3873</v>
      </c>
      <c r="E902" s="1">
        <v>60008</v>
      </c>
      <c r="F902" s="2">
        <v>23680</v>
      </c>
    </row>
    <row r="903" spans="1:6" x14ac:dyDescent="0.25">
      <c r="A903">
        <v>2019</v>
      </c>
      <c r="B903" t="s">
        <v>59</v>
      </c>
      <c r="C903" t="s">
        <v>38</v>
      </c>
      <c r="D903" s="1">
        <v>13400</v>
      </c>
      <c r="E903" s="1">
        <v>270473</v>
      </c>
      <c r="F903" s="2">
        <v>18816</v>
      </c>
    </row>
    <row r="904" spans="1:6" x14ac:dyDescent="0.25">
      <c r="A904">
        <v>2019</v>
      </c>
      <c r="B904" t="s">
        <v>59</v>
      </c>
      <c r="C904" t="s">
        <v>39</v>
      </c>
      <c r="D904" s="1">
        <v>3191</v>
      </c>
      <c r="E904" s="1">
        <v>47413</v>
      </c>
      <c r="F904" s="2">
        <v>17519</v>
      </c>
    </row>
    <row r="905" spans="1:6" x14ac:dyDescent="0.25">
      <c r="A905">
        <v>2019</v>
      </c>
      <c r="B905" t="s">
        <v>59</v>
      </c>
      <c r="C905" t="s">
        <v>40</v>
      </c>
      <c r="D905" s="1">
        <v>16924</v>
      </c>
      <c r="E905" s="1">
        <v>347181</v>
      </c>
      <c r="F905" s="2">
        <v>23878</v>
      </c>
    </row>
    <row r="906" spans="1:6" x14ac:dyDescent="0.25">
      <c r="A906">
        <v>2019</v>
      </c>
      <c r="B906" t="s">
        <v>59</v>
      </c>
      <c r="C906" t="s">
        <v>41</v>
      </c>
      <c r="D906" s="1">
        <v>65057</v>
      </c>
      <c r="E906" s="1">
        <v>1394036</v>
      </c>
      <c r="F906" s="2">
        <v>22762</v>
      </c>
    </row>
    <row r="907" spans="1:6" x14ac:dyDescent="0.25">
      <c r="A907">
        <v>2019</v>
      </c>
      <c r="B907" t="s">
        <v>59</v>
      </c>
      <c r="C907" t="s">
        <v>42</v>
      </c>
      <c r="D907" s="1">
        <v>7570</v>
      </c>
      <c r="E907" s="1">
        <v>153412</v>
      </c>
      <c r="F907" s="2">
        <v>20955</v>
      </c>
    </row>
    <row r="908" spans="1:6" x14ac:dyDescent="0.25">
      <c r="A908">
        <v>2019</v>
      </c>
      <c r="B908" t="s">
        <v>59</v>
      </c>
      <c r="C908" t="s">
        <v>43</v>
      </c>
      <c r="D908" s="1">
        <v>2268</v>
      </c>
      <c r="E908" s="1">
        <v>37208</v>
      </c>
      <c r="F908" s="2">
        <v>23863</v>
      </c>
    </row>
    <row r="909" spans="1:6" x14ac:dyDescent="0.25">
      <c r="A909">
        <v>2019</v>
      </c>
      <c r="B909" t="s">
        <v>59</v>
      </c>
      <c r="C909" t="s">
        <v>44</v>
      </c>
      <c r="D909" s="1">
        <v>20743</v>
      </c>
      <c r="E909" s="1">
        <v>408354</v>
      </c>
      <c r="F909" s="2">
        <v>21582</v>
      </c>
    </row>
    <row r="910" spans="1:6" x14ac:dyDescent="0.25">
      <c r="A910">
        <v>2019</v>
      </c>
      <c r="B910" t="s">
        <v>59</v>
      </c>
      <c r="C910" t="s">
        <v>45</v>
      </c>
      <c r="D910" s="1">
        <v>20637</v>
      </c>
      <c r="E910" s="1">
        <v>341265</v>
      </c>
      <c r="F910" s="2">
        <v>26566</v>
      </c>
    </row>
    <row r="911" spans="1:6" x14ac:dyDescent="0.25">
      <c r="A911">
        <v>2019</v>
      </c>
      <c r="B911" t="s">
        <v>59</v>
      </c>
      <c r="C911" t="s">
        <v>46</v>
      </c>
      <c r="D911" s="1">
        <v>4658</v>
      </c>
      <c r="E911" s="1">
        <v>75027</v>
      </c>
      <c r="F911" s="2">
        <v>18256</v>
      </c>
    </row>
    <row r="912" spans="1:6" x14ac:dyDescent="0.25">
      <c r="A912">
        <v>2019</v>
      </c>
      <c r="B912" t="s">
        <v>59</v>
      </c>
      <c r="C912" t="s">
        <v>47</v>
      </c>
      <c r="D912" s="1">
        <v>17015</v>
      </c>
      <c r="E912" s="1">
        <v>285279</v>
      </c>
      <c r="F912" s="2">
        <v>18758</v>
      </c>
    </row>
    <row r="913" spans="1:6" x14ac:dyDescent="0.25">
      <c r="A913">
        <v>2019</v>
      </c>
      <c r="B913" t="s">
        <v>59</v>
      </c>
      <c r="C913" t="s">
        <v>48</v>
      </c>
      <c r="D913" s="1">
        <v>2398</v>
      </c>
      <c r="E913" s="1">
        <v>37041</v>
      </c>
      <c r="F913" s="2">
        <v>21994</v>
      </c>
    </row>
    <row r="914" spans="1:6" x14ac:dyDescent="0.25">
      <c r="A914">
        <v>2019</v>
      </c>
      <c r="B914" t="s">
        <v>60</v>
      </c>
      <c r="C914" t="s">
        <v>1</v>
      </c>
      <c r="D914" s="1">
        <v>10189</v>
      </c>
      <c r="E914" s="1">
        <v>46816</v>
      </c>
      <c r="F914" s="2">
        <v>38607</v>
      </c>
    </row>
    <row r="915" spans="1:6" x14ac:dyDescent="0.25">
      <c r="A915">
        <v>2019</v>
      </c>
      <c r="B915" t="s">
        <v>60</v>
      </c>
      <c r="C915" t="s">
        <v>2</v>
      </c>
      <c r="D915" s="1">
        <v>10674</v>
      </c>
      <c r="E915" s="1">
        <v>75782</v>
      </c>
      <c r="F915" s="2">
        <v>39965</v>
      </c>
    </row>
    <row r="916" spans="1:6" x14ac:dyDescent="0.25">
      <c r="A916">
        <v>2019</v>
      </c>
      <c r="B916" t="s">
        <v>60</v>
      </c>
      <c r="C916" t="s">
        <v>3</v>
      </c>
      <c r="D916" s="1">
        <v>5359</v>
      </c>
      <c r="E916" s="1">
        <v>25279</v>
      </c>
      <c r="F916" s="2">
        <v>36115</v>
      </c>
    </row>
    <row r="917" spans="1:6" x14ac:dyDescent="0.25">
      <c r="A917">
        <v>2019</v>
      </c>
      <c r="B917" t="s">
        <v>60</v>
      </c>
      <c r="C917" t="s">
        <v>4</v>
      </c>
      <c r="D917" s="1">
        <v>97442</v>
      </c>
      <c r="E917" s="1">
        <v>547972</v>
      </c>
      <c r="F917" s="2">
        <v>42293</v>
      </c>
    </row>
    <row r="918" spans="1:6" x14ac:dyDescent="0.25">
      <c r="A918">
        <v>2019</v>
      </c>
      <c r="B918" t="s">
        <v>60</v>
      </c>
      <c r="C918" t="s">
        <v>5</v>
      </c>
      <c r="D918" s="1">
        <v>17008</v>
      </c>
      <c r="E918" s="1">
        <v>84571</v>
      </c>
      <c r="F918" s="2">
        <v>42381</v>
      </c>
    </row>
    <row r="919" spans="1:6" x14ac:dyDescent="0.25">
      <c r="A919">
        <v>2019</v>
      </c>
      <c r="B919" t="s">
        <v>60</v>
      </c>
      <c r="C919" t="s">
        <v>6</v>
      </c>
      <c r="D919" s="1">
        <v>18146</v>
      </c>
      <c r="E919" s="1">
        <v>66497</v>
      </c>
      <c r="F919" s="2">
        <v>34861</v>
      </c>
    </row>
    <row r="920" spans="1:6" x14ac:dyDescent="0.25">
      <c r="A920">
        <v>2019</v>
      </c>
      <c r="B920" t="s">
        <v>60</v>
      </c>
      <c r="C920" t="s">
        <v>7</v>
      </c>
      <c r="D920" s="1">
        <v>2052</v>
      </c>
      <c r="E920" s="1">
        <v>12125</v>
      </c>
      <c r="F920" s="2">
        <v>35636</v>
      </c>
    </row>
    <row r="921" spans="1:6" x14ac:dyDescent="0.25">
      <c r="A921">
        <v>2019</v>
      </c>
      <c r="B921" t="s">
        <v>60</v>
      </c>
      <c r="C921" t="s">
        <v>8</v>
      </c>
      <c r="D921" s="1">
        <v>56765</v>
      </c>
      <c r="E921" s="1">
        <v>281975</v>
      </c>
      <c r="F921" s="2">
        <v>37969</v>
      </c>
    </row>
    <row r="922" spans="1:6" x14ac:dyDescent="0.25">
      <c r="A922">
        <v>2019</v>
      </c>
      <c r="B922" t="s">
        <v>60</v>
      </c>
      <c r="C922" t="s">
        <v>9</v>
      </c>
      <c r="D922" s="1">
        <v>18227</v>
      </c>
      <c r="E922" s="1">
        <v>111902</v>
      </c>
      <c r="F922" s="2">
        <v>37971</v>
      </c>
    </row>
    <row r="923" spans="1:6" x14ac:dyDescent="0.25">
      <c r="A923">
        <v>2019</v>
      </c>
      <c r="B923" t="s">
        <v>60</v>
      </c>
      <c r="C923" t="s">
        <v>10</v>
      </c>
      <c r="D923" s="1">
        <v>3845</v>
      </c>
      <c r="E923" s="1">
        <v>19414</v>
      </c>
      <c r="F923" s="2">
        <v>32615</v>
      </c>
    </row>
    <row r="924" spans="1:6" x14ac:dyDescent="0.25">
      <c r="A924">
        <v>2019</v>
      </c>
      <c r="B924" t="s">
        <v>60</v>
      </c>
      <c r="C924" t="s">
        <v>11</v>
      </c>
      <c r="D924" s="1">
        <v>39884</v>
      </c>
      <c r="E924" s="1">
        <v>209967</v>
      </c>
      <c r="F924" s="2">
        <v>43714</v>
      </c>
    </row>
    <row r="925" spans="1:6" x14ac:dyDescent="0.25">
      <c r="A925">
        <v>2019</v>
      </c>
      <c r="B925" t="s">
        <v>60</v>
      </c>
      <c r="C925" t="s">
        <v>12</v>
      </c>
      <c r="D925" s="1">
        <v>12916</v>
      </c>
      <c r="E925" s="1">
        <v>89273</v>
      </c>
      <c r="F925" s="2">
        <v>33759</v>
      </c>
    </row>
    <row r="926" spans="1:6" x14ac:dyDescent="0.25">
      <c r="A926">
        <v>2019</v>
      </c>
      <c r="B926" t="s">
        <v>60</v>
      </c>
      <c r="C926" t="s">
        <v>13</v>
      </c>
      <c r="D926" s="1">
        <v>8547</v>
      </c>
      <c r="E926" s="1">
        <v>42519</v>
      </c>
      <c r="F926" s="2">
        <v>36534</v>
      </c>
    </row>
    <row r="927" spans="1:6" x14ac:dyDescent="0.25">
      <c r="A927">
        <v>2019</v>
      </c>
      <c r="B927" t="s">
        <v>60</v>
      </c>
      <c r="C927" t="s">
        <v>14</v>
      </c>
      <c r="D927" s="1">
        <v>5938</v>
      </c>
      <c r="E927" s="1">
        <v>34833</v>
      </c>
      <c r="F927" s="2">
        <v>35624</v>
      </c>
    </row>
    <row r="928" spans="1:6" x14ac:dyDescent="0.25">
      <c r="A928">
        <v>2019</v>
      </c>
      <c r="B928" t="s">
        <v>60</v>
      </c>
      <c r="C928" t="s">
        <v>15</v>
      </c>
      <c r="D928" s="1">
        <v>10404</v>
      </c>
      <c r="E928" s="1">
        <v>46571</v>
      </c>
      <c r="F928" s="2">
        <v>34846</v>
      </c>
    </row>
    <row r="929" spans="1:6" x14ac:dyDescent="0.25">
      <c r="A929">
        <v>2019</v>
      </c>
      <c r="B929" t="s">
        <v>60</v>
      </c>
      <c r="C929" t="s">
        <v>16</v>
      </c>
      <c r="D929" s="1">
        <v>9280</v>
      </c>
      <c r="E929" s="1">
        <v>46391</v>
      </c>
      <c r="F929" s="2">
        <v>38963</v>
      </c>
    </row>
    <row r="930" spans="1:6" x14ac:dyDescent="0.25">
      <c r="A930">
        <v>2019</v>
      </c>
      <c r="B930" t="s">
        <v>60</v>
      </c>
      <c r="C930" t="s">
        <v>17</v>
      </c>
      <c r="D930" s="1">
        <v>3777</v>
      </c>
      <c r="E930" s="1">
        <v>17863</v>
      </c>
      <c r="F930" s="2">
        <v>35322</v>
      </c>
    </row>
    <row r="931" spans="1:6" x14ac:dyDescent="0.25">
      <c r="A931">
        <v>2019</v>
      </c>
      <c r="B931" t="s">
        <v>60</v>
      </c>
      <c r="C931" t="s">
        <v>18</v>
      </c>
      <c r="D931" s="1">
        <v>19358</v>
      </c>
      <c r="E931" s="1">
        <v>91545</v>
      </c>
      <c r="F931" s="2">
        <v>44150</v>
      </c>
    </row>
    <row r="932" spans="1:6" x14ac:dyDescent="0.25">
      <c r="A932">
        <v>2019</v>
      </c>
      <c r="B932" t="s">
        <v>60</v>
      </c>
      <c r="C932" t="s">
        <v>19</v>
      </c>
      <c r="D932" s="1">
        <v>22046</v>
      </c>
      <c r="E932" s="1">
        <v>121404</v>
      </c>
      <c r="F932" s="2">
        <v>40421</v>
      </c>
    </row>
    <row r="933" spans="1:6" x14ac:dyDescent="0.25">
      <c r="A933">
        <v>2019</v>
      </c>
      <c r="B933" t="s">
        <v>60</v>
      </c>
      <c r="C933" t="s">
        <v>20</v>
      </c>
      <c r="D933" s="1">
        <v>32480</v>
      </c>
      <c r="E933" s="1">
        <v>140352</v>
      </c>
      <c r="F933" s="2">
        <v>34330</v>
      </c>
    </row>
    <row r="934" spans="1:6" x14ac:dyDescent="0.25">
      <c r="A934">
        <v>2019</v>
      </c>
      <c r="B934" t="s">
        <v>60</v>
      </c>
      <c r="C934" t="s">
        <v>21</v>
      </c>
      <c r="D934" s="1">
        <v>17266</v>
      </c>
      <c r="E934" s="1">
        <v>91238</v>
      </c>
      <c r="F934" s="2">
        <v>35478</v>
      </c>
    </row>
    <row r="935" spans="1:6" x14ac:dyDescent="0.25">
      <c r="A935">
        <v>2019</v>
      </c>
      <c r="B935" t="s">
        <v>60</v>
      </c>
      <c r="C935" t="s">
        <v>22</v>
      </c>
      <c r="D935" s="1">
        <v>4589</v>
      </c>
      <c r="E935" s="1">
        <v>21043</v>
      </c>
      <c r="F935" s="2">
        <v>36243</v>
      </c>
    </row>
    <row r="936" spans="1:6" x14ac:dyDescent="0.25">
      <c r="A936">
        <v>2019</v>
      </c>
      <c r="B936" t="s">
        <v>60</v>
      </c>
      <c r="C936" t="s">
        <v>23</v>
      </c>
      <c r="D936" s="1">
        <v>13240</v>
      </c>
      <c r="E936" s="1">
        <v>75829</v>
      </c>
      <c r="F936" s="2">
        <v>35224</v>
      </c>
    </row>
    <row r="937" spans="1:6" x14ac:dyDescent="0.25">
      <c r="A937">
        <v>2019</v>
      </c>
      <c r="B937" t="s">
        <v>60</v>
      </c>
      <c r="C937" t="s">
        <v>24</v>
      </c>
      <c r="D937" s="1">
        <v>4153</v>
      </c>
      <c r="E937" s="1">
        <v>18442</v>
      </c>
      <c r="F937" s="2">
        <v>31791</v>
      </c>
    </row>
    <row r="938" spans="1:6" x14ac:dyDescent="0.25">
      <c r="A938">
        <v>2019</v>
      </c>
      <c r="B938" t="s">
        <v>60</v>
      </c>
      <c r="C938" t="s">
        <v>25</v>
      </c>
      <c r="D938" s="1">
        <v>4572</v>
      </c>
      <c r="E938" s="1">
        <v>25509</v>
      </c>
      <c r="F938" s="2">
        <v>33587</v>
      </c>
    </row>
    <row r="939" spans="1:6" x14ac:dyDescent="0.25">
      <c r="A939">
        <v>2019</v>
      </c>
      <c r="B939" t="s">
        <v>60</v>
      </c>
      <c r="C939" t="s">
        <v>26</v>
      </c>
      <c r="D939" s="1">
        <v>5140</v>
      </c>
      <c r="E939" s="1">
        <v>35449</v>
      </c>
      <c r="F939" s="2">
        <v>38479</v>
      </c>
    </row>
    <row r="940" spans="1:6" x14ac:dyDescent="0.25">
      <c r="A940">
        <v>2019</v>
      </c>
      <c r="B940" t="s">
        <v>60</v>
      </c>
      <c r="C940" t="s">
        <v>27</v>
      </c>
      <c r="D940" s="1">
        <v>4011</v>
      </c>
      <c r="E940" s="1">
        <v>21600</v>
      </c>
      <c r="F940" s="2">
        <v>39236</v>
      </c>
    </row>
    <row r="941" spans="1:6" x14ac:dyDescent="0.25">
      <c r="A941">
        <v>2019</v>
      </c>
      <c r="B941" t="s">
        <v>60</v>
      </c>
      <c r="C941" t="s">
        <v>28</v>
      </c>
      <c r="D941" s="1">
        <v>24469</v>
      </c>
      <c r="E941" s="1">
        <v>138255</v>
      </c>
      <c r="F941" s="2">
        <v>37373</v>
      </c>
    </row>
    <row r="942" spans="1:6" x14ac:dyDescent="0.25">
      <c r="A942">
        <v>2019</v>
      </c>
      <c r="B942" t="s">
        <v>60</v>
      </c>
      <c r="C942" t="s">
        <v>29</v>
      </c>
      <c r="D942" s="1">
        <v>4216</v>
      </c>
      <c r="E942" s="1">
        <v>21214</v>
      </c>
      <c r="F942" s="2">
        <v>35417</v>
      </c>
    </row>
    <row r="943" spans="1:6" x14ac:dyDescent="0.25">
      <c r="A943">
        <v>2019</v>
      </c>
      <c r="B943" t="s">
        <v>60</v>
      </c>
      <c r="C943" t="s">
        <v>30</v>
      </c>
      <c r="D943" s="1">
        <v>72430</v>
      </c>
      <c r="E943" s="1">
        <v>371218</v>
      </c>
      <c r="F943" s="2">
        <v>43410</v>
      </c>
    </row>
    <row r="944" spans="1:6" x14ac:dyDescent="0.25">
      <c r="A944">
        <v>2019</v>
      </c>
      <c r="B944" t="s">
        <v>60</v>
      </c>
      <c r="C944" t="s">
        <v>31</v>
      </c>
      <c r="D944" s="1">
        <v>24457</v>
      </c>
      <c r="E944" s="1">
        <v>115119</v>
      </c>
      <c r="F944" s="2">
        <v>36624</v>
      </c>
    </row>
    <row r="945" spans="1:6" x14ac:dyDescent="0.25">
      <c r="A945">
        <v>2019</v>
      </c>
      <c r="B945" t="s">
        <v>60</v>
      </c>
      <c r="C945" t="s">
        <v>32</v>
      </c>
      <c r="D945" s="1">
        <v>2047</v>
      </c>
      <c r="E945" s="1">
        <v>11337</v>
      </c>
      <c r="F945" s="2">
        <v>38696</v>
      </c>
    </row>
    <row r="946" spans="1:6" x14ac:dyDescent="0.25">
      <c r="A946">
        <v>2019</v>
      </c>
      <c r="B946" t="s">
        <v>60</v>
      </c>
      <c r="C946" t="s">
        <v>33</v>
      </c>
      <c r="D946" s="1">
        <v>23639</v>
      </c>
      <c r="E946" s="1">
        <v>157001</v>
      </c>
      <c r="F946" s="2">
        <v>35006</v>
      </c>
    </row>
    <row r="947" spans="1:6" x14ac:dyDescent="0.25">
      <c r="A947">
        <v>2019</v>
      </c>
      <c r="B947" t="s">
        <v>60</v>
      </c>
      <c r="C947" t="s">
        <v>34</v>
      </c>
      <c r="D947" s="1">
        <v>6589</v>
      </c>
      <c r="E947" s="1">
        <v>36706</v>
      </c>
      <c r="F947" s="2">
        <v>36151</v>
      </c>
    </row>
    <row r="948" spans="1:6" x14ac:dyDescent="0.25">
      <c r="A948">
        <v>2019</v>
      </c>
      <c r="B948" t="s">
        <v>60</v>
      </c>
      <c r="C948" t="s">
        <v>35</v>
      </c>
      <c r="D948" s="1">
        <v>25468</v>
      </c>
      <c r="E948" s="1">
        <v>78423</v>
      </c>
      <c r="F948" s="2">
        <v>35467</v>
      </c>
    </row>
    <row r="949" spans="1:6" x14ac:dyDescent="0.25">
      <c r="A949">
        <v>2019</v>
      </c>
      <c r="B949" t="s">
        <v>60</v>
      </c>
      <c r="C949" t="s">
        <v>36</v>
      </c>
      <c r="D949" s="1">
        <v>33082</v>
      </c>
      <c r="E949" s="1">
        <v>202171</v>
      </c>
      <c r="F949" s="2">
        <v>35131</v>
      </c>
    </row>
    <row r="950" spans="1:6" x14ac:dyDescent="0.25">
      <c r="A950">
        <v>2019</v>
      </c>
      <c r="B950" t="s">
        <v>60</v>
      </c>
      <c r="C950" t="s">
        <v>37</v>
      </c>
      <c r="D950" s="1">
        <v>3537</v>
      </c>
      <c r="E950" s="1">
        <v>18157</v>
      </c>
      <c r="F950" s="2">
        <v>34466</v>
      </c>
    </row>
    <row r="951" spans="1:6" x14ac:dyDescent="0.25">
      <c r="A951">
        <v>2019</v>
      </c>
      <c r="B951" t="s">
        <v>60</v>
      </c>
      <c r="C951" t="s">
        <v>38</v>
      </c>
      <c r="D951" s="1">
        <v>12142</v>
      </c>
      <c r="E951" s="1">
        <v>54906</v>
      </c>
      <c r="F951" s="2">
        <v>34386</v>
      </c>
    </row>
    <row r="952" spans="1:6" x14ac:dyDescent="0.25">
      <c r="A952">
        <v>2019</v>
      </c>
      <c r="B952" t="s">
        <v>60</v>
      </c>
      <c r="C952" t="s">
        <v>39</v>
      </c>
      <c r="D952" s="1">
        <v>2223</v>
      </c>
      <c r="E952" s="1">
        <v>11326</v>
      </c>
      <c r="F952" s="2">
        <v>34233</v>
      </c>
    </row>
    <row r="953" spans="1:6" x14ac:dyDescent="0.25">
      <c r="A953">
        <v>2019</v>
      </c>
      <c r="B953" t="s">
        <v>60</v>
      </c>
      <c r="C953" t="s">
        <v>40</v>
      </c>
      <c r="D953" s="1">
        <v>15931</v>
      </c>
      <c r="E953" s="1">
        <v>80484</v>
      </c>
      <c r="F953" s="2">
        <v>36227</v>
      </c>
    </row>
    <row r="954" spans="1:6" x14ac:dyDescent="0.25">
      <c r="A954">
        <v>2019</v>
      </c>
      <c r="B954" t="s">
        <v>60</v>
      </c>
      <c r="C954" t="s">
        <v>41</v>
      </c>
      <c r="D954" s="1">
        <v>57504</v>
      </c>
      <c r="E954" s="1">
        <v>343287</v>
      </c>
      <c r="F954" s="2">
        <v>41110</v>
      </c>
    </row>
    <row r="955" spans="1:6" x14ac:dyDescent="0.25">
      <c r="A955">
        <v>2019</v>
      </c>
      <c r="B955" t="s">
        <v>60</v>
      </c>
      <c r="C955" t="s">
        <v>42</v>
      </c>
      <c r="D955" s="1">
        <v>6492</v>
      </c>
      <c r="E955" s="1">
        <v>37200</v>
      </c>
      <c r="F955" s="2">
        <v>37389</v>
      </c>
    </row>
    <row r="956" spans="1:6" x14ac:dyDescent="0.25">
      <c r="A956">
        <v>2019</v>
      </c>
      <c r="B956" t="s">
        <v>60</v>
      </c>
      <c r="C956" t="s">
        <v>43</v>
      </c>
      <c r="D956" s="1">
        <v>1990</v>
      </c>
      <c r="E956" s="1">
        <v>8772</v>
      </c>
      <c r="F956" s="2">
        <v>37394</v>
      </c>
    </row>
    <row r="957" spans="1:6" x14ac:dyDescent="0.25">
      <c r="A957">
        <v>2019</v>
      </c>
      <c r="B957" t="s">
        <v>60</v>
      </c>
      <c r="C957" t="s">
        <v>44</v>
      </c>
      <c r="D957" s="1">
        <v>29777</v>
      </c>
      <c r="E957" s="1">
        <v>140456</v>
      </c>
      <c r="F957" s="2">
        <v>45136</v>
      </c>
    </row>
    <row r="958" spans="1:6" x14ac:dyDescent="0.25">
      <c r="A958">
        <v>2019</v>
      </c>
      <c r="B958" t="s">
        <v>60</v>
      </c>
      <c r="C958" t="s">
        <v>45</v>
      </c>
      <c r="D958" s="1">
        <v>19915</v>
      </c>
      <c r="E958" s="1">
        <v>102632</v>
      </c>
      <c r="F958" s="2">
        <v>42585</v>
      </c>
    </row>
    <row r="959" spans="1:6" x14ac:dyDescent="0.25">
      <c r="A959">
        <v>2019</v>
      </c>
      <c r="B959" t="s">
        <v>60</v>
      </c>
      <c r="C959" t="s">
        <v>46</v>
      </c>
      <c r="D959" s="1">
        <v>5797</v>
      </c>
      <c r="E959" s="1">
        <v>20164</v>
      </c>
      <c r="F959" s="2">
        <v>32080</v>
      </c>
    </row>
    <row r="960" spans="1:6" x14ac:dyDescent="0.25">
      <c r="A960">
        <v>2019</v>
      </c>
      <c r="B960" t="s">
        <v>60</v>
      </c>
      <c r="C960" t="s">
        <v>47</v>
      </c>
      <c r="D960" s="1">
        <v>13757</v>
      </c>
      <c r="E960" s="1">
        <v>84267</v>
      </c>
      <c r="F960" s="2">
        <v>31908</v>
      </c>
    </row>
    <row r="961" spans="1:6" x14ac:dyDescent="0.25">
      <c r="A961">
        <v>2019</v>
      </c>
      <c r="B961" t="s">
        <v>60</v>
      </c>
      <c r="C961" t="s">
        <v>48</v>
      </c>
      <c r="D961" s="1">
        <v>1655</v>
      </c>
      <c r="E961" s="1">
        <v>7188</v>
      </c>
      <c r="F961" s="2">
        <v>39255</v>
      </c>
    </row>
    <row r="962" spans="1:6" x14ac:dyDescent="0.25">
      <c r="A962">
        <v>2018</v>
      </c>
      <c r="B962" t="s">
        <v>55</v>
      </c>
      <c r="C962" t="s">
        <v>1</v>
      </c>
      <c r="D962" s="1">
        <v>1843</v>
      </c>
      <c r="E962" s="1">
        <v>18397</v>
      </c>
      <c r="F962" s="2">
        <v>56388</v>
      </c>
    </row>
    <row r="963" spans="1:6" x14ac:dyDescent="0.25">
      <c r="A963">
        <v>2018</v>
      </c>
      <c r="B963" t="s">
        <v>55</v>
      </c>
      <c r="C963" t="s">
        <v>2</v>
      </c>
      <c r="D963" s="1">
        <v>1328</v>
      </c>
      <c r="E963" s="1">
        <v>38653</v>
      </c>
      <c r="F963" s="2">
        <v>50854</v>
      </c>
    </row>
    <row r="964" spans="1:6" x14ac:dyDescent="0.25">
      <c r="A964">
        <v>2018</v>
      </c>
      <c r="B964" t="s">
        <v>55</v>
      </c>
      <c r="C964" t="s">
        <v>3</v>
      </c>
      <c r="D964" s="1">
        <v>2525</v>
      </c>
      <c r="E964" s="1">
        <v>16334</v>
      </c>
      <c r="F964" s="2">
        <v>47616</v>
      </c>
    </row>
    <row r="965" spans="1:6" x14ac:dyDescent="0.25">
      <c r="A965">
        <v>2018</v>
      </c>
      <c r="B965" t="s">
        <v>55</v>
      </c>
      <c r="C965" t="s">
        <v>4</v>
      </c>
      <c r="D965" s="1">
        <v>17605</v>
      </c>
      <c r="E965" s="1">
        <v>443542</v>
      </c>
      <c r="F965" s="2">
        <v>38595</v>
      </c>
    </row>
    <row r="966" spans="1:6" x14ac:dyDescent="0.25">
      <c r="A966">
        <v>2018</v>
      </c>
      <c r="B966" t="s">
        <v>55</v>
      </c>
      <c r="C966" t="s">
        <v>5</v>
      </c>
      <c r="D966" s="1">
        <v>3256</v>
      </c>
      <c r="E966" s="1">
        <v>46357</v>
      </c>
      <c r="F966" s="2">
        <v>88489</v>
      </c>
    </row>
    <row r="967" spans="1:6" x14ac:dyDescent="0.25">
      <c r="A967">
        <v>2018</v>
      </c>
      <c r="B967" t="s">
        <v>55</v>
      </c>
      <c r="C967" t="s">
        <v>6</v>
      </c>
      <c r="D967">
        <v>441</v>
      </c>
      <c r="E967" s="1">
        <v>5272</v>
      </c>
      <c r="F967" s="2">
        <v>40054</v>
      </c>
    </row>
    <row r="968" spans="1:6" x14ac:dyDescent="0.25">
      <c r="A968">
        <v>2018</v>
      </c>
      <c r="B968" t="s">
        <v>55</v>
      </c>
      <c r="C968" t="s">
        <v>7</v>
      </c>
      <c r="D968">
        <v>177</v>
      </c>
      <c r="E968" s="1">
        <v>1535</v>
      </c>
      <c r="F968" s="2">
        <v>39987</v>
      </c>
    </row>
    <row r="969" spans="1:6" x14ac:dyDescent="0.25">
      <c r="A969">
        <v>2018</v>
      </c>
      <c r="B969" t="s">
        <v>55</v>
      </c>
      <c r="C969" t="s">
        <v>8</v>
      </c>
      <c r="D969" s="1">
        <v>5289</v>
      </c>
      <c r="E969" s="1">
        <v>72507</v>
      </c>
      <c r="F969" s="2">
        <v>34681</v>
      </c>
    </row>
    <row r="970" spans="1:6" x14ac:dyDescent="0.25">
      <c r="A970">
        <v>2018</v>
      </c>
      <c r="B970" t="s">
        <v>55</v>
      </c>
      <c r="C970" t="s">
        <v>9</v>
      </c>
      <c r="D970" s="1">
        <v>2630</v>
      </c>
      <c r="E970" s="1">
        <v>29395</v>
      </c>
      <c r="F970" s="2">
        <v>42010</v>
      </c>
    </row>
    <row r="971" spans="1:6" x14ac:dyDescent="0.25">
      <c r="A971">
        <v>2018</v>
      </c>
      <c r="B971" t="s">
        <v>55</v>
      </c>
      <c r="C971" t="s">
        <v>10</v>
      </c>
      <c r="D971" s="1">
        <v>2500</v>
      </c>
      <c r="E971" s="1">
        <v>26636</v>
      </c>
      <c r="F971" s="2">
        <v>39998</v>
      </c>
    </row>
    <row r="972" spans="1:6" x14ac:dyDescent="0.25">
      <c r="A972">
        <v>2018</v>
      </c>
      <c r="B972" t="s">
        <v>55</v>
      </c>
      <c r="C972" t="s">
        <v>11</v>
      </c>
      <c r="D972" s="1">
        <v>2785</v>
      </c>
      <c r="E972" s="1">
        <v>26452</v>
      </c>
      <c r="F972" s="2">
        <v>50101</v>
      </c>
    </row>
    <row r="973" spans="1:6" x14ac:dyDescent="0.25">
      <c r="A973">
        <v>2018</v>
      </c>
      <c r="B973" t="s">
        <v>55</v>
      </c>
      <c r="C973" t="s">
        <v>12</v>
      </c>
      <c r="D973" s="1">
        <v>2217</v>
      </c>
      <c r="E973" s="1">
        <v>21236</v>
      </c>
      <c r="F973" s="2">
        <v>48605</v>
      </c>
    </row>
    <row r="974" spans="1:6" x14ac:dyDescent="0.25">
      <c r="A974">
        <v>2018</v>
      </c>
      <c r="B974" t="s">
        <v>55</v>
      </c>
      <c r="C974" t="s">
        <v>13</v>
      </c>
      <c r="D974" s="1">
        <v>2830</v>
      </c>
      <c r="E974" s="1">
        <v>23077</v>
      </c>
      <c r="F974" s="2">
        <v>42989</v>
      </c>
    </row>
    <row r="975" spans="1:6" x14ac:dyDescent="0.25">
      <c r="A975">
        <v>2018</v>
      </c>
      <c r="B975" t="s">
        <v>55</v>
      </c>
      <c r="C975" t="s">
        <v>14</v>
      </c>
      <c r="D975" s="1">
        <v>2658</v>
      </c>
      <c r="E975" s="1">
        <v>19284</v>
      </c>
      <c r="F975" s="2">
        <v>47004</v>
      </c>
    </row>
    <row r="976" spans="1:6" x14ac:dyDescent="0.25">
      <c r="A976">
        <v>2018</v>
      </c>
      <c r="B976" t="s">
        <v>55</v>
      </c>
      <c r="C976" t="s">
        <v>15</v>
      </c>
      <c r="D976" s="1">
        <v>1559</v>
      </c>
      <c r="E976" s="1">
        <v>18569</v>
      </c>
      <c r="F976" s="2">
        <v>56223</v>
      </c>
    </row>
    <row r="977" spans="1:6" x14ac:dyDescent="0.25">
      <c r="A977">
        <v>2018</v>
      </c>
      <c r="B977" t="s">
        <v>55</v>
      </c>
      <c r="C977" t="s">
        <v>16</v>
      </c>
      <c r="D977" s="1">
        <v>3089</v>
      </c>
      <c r="E977" s="1">
        <v>43598</v>
      </c>
      <c r="F977" s="2">
        <v>84277</v>
      </c>
    </row>
    <row r="978" spans="1:6" x14ac:dyDescent="0.25">
      <c r="A978">
        <v>2018</v>
      </c>
      <c r="B978" t="s">
        <v>55</v>
      </c>
      <c r="C978" t="s">
        <v>17</v>
      </c>
      <c r="D978" s="1">
        <v>1372</v>
      </c>
      <c r="E978" s="1">
        <v>7143</v>
      </c>
      <c r="F978" s="2">
        <v>41187</v>
      </c>
    </row>
    <row r="979" spans="1:6" x14ac:dyDescent="0.25">
      <c r="A979">
        <v>2018</v>
      </c>
      <c r="B979" t="s">
        <v>55</v>
      </c>
      <c r="C979" t="s">
        <v>18</v>
      </c>
      <c r="D979">
        <v>723</v>
      </c>
      <c r="E979" s="1">
        <v>6447</v>
      </c>
      <c r="F979" s="2">
        <v>43100</v>
      </c>
    </row>
    <row r="980" spans="1:6" x14ac:dyDescent="0.25">
      <c r="A980">
        <v>2018</v>
      </c>
      <c r="B980" t="s">
        <v>55</v>
      </c>
      <c r="C980" t="s">
        <v>19</v>
      </c>
      <c r="D980">
        <v>985</v>
      </c>
      <c r="E980" s="1">
        <v>9626</v>
      </c>
      <c r="F980" s="2">
        <v>61244</v>
      </c>
    </row>
    <row r="981" spans="1:6" x14ac:dyDescent="0.25">
      <c r="A981">
        <v>2018</v>
      </c>
      <c r="B981" t="s">
        <v>55</v>
      </c>
      <c r="C981" t="s">
        <v>20</v>
      </c>
      <c r="D981" s="1">
        <v>3282</v>
      </c>
      <c r="E981" s="1">
        <v>35874</v>
      </c>
      <c r="F981" s="2">
        <v>40516</v>
      </c>
    </row>
    <row r="982" spans="1:6" x14ac:dyDescent="0.25">
      <c r="A982">
        <v>2018</v>
      </c>
      <c r="B982" t="s">
        <v>55</v>
      </c>
      <c r="C982" t="s">
        <v>21</v>
      </c>
      <c r="D982" s="1">
        <v>3071</v>
      </c>
      <c r="E982" s="1">
        <v>27642</v>
      </c>
      <c r="F982" s="2">
        <v>50521</v>
      </c>
    </row>
    <row r="983" spans="1:6" x14ac:dyDescent="0.25">
      <c r="A983">
        <v>2018</v>
      </c>
      <c r="B983" t="s">
        <v>55</v>
      </c>
      <c r="C983" t="s">
        <v>22</v>
      </c>
      <c r="D983" s="1">
        <v>2153</v>
      </c>
      <c r="E983" s="1">
        <v>16234</v>
      </c>
      <c r="F983" s="2">
        <v>47028</v>
      </c>
    </row>
    <row r="984" spans="1:6" x14ac:dyDescent="0.25">
      <c r="A984">
        <v>2018</v>
      </c>
      <c r="B984" t="s">
        <v>55</v>
      </c>
      <c r="C984" t="s">
        <v>23</v>
      </c>
      <c r="D984" s="1">
        <v>1935</v>
      </c>
      <c r="E984" s="1">
        <v>16642</v>
      </c>
      <c r="F984" s="2">
        <v>43331</v>
      </c>
    </row>
    <row r="985" spans="1:6" x14ac:dyDescent="0.25">
      <c r="A985">
        <v>2018</v>
      </c>
      <c r="B985" t="s">
        <v>55</v>
      </c>
      <c r="C985" t="s">
        <v>24</v>
      </c>
      <c r="D985" s="1">
        <v>1771</v>
      </c>
      <c r="E985" s="1">
        <v>12503</v>
      </c>
      <c r="F985" s="2">
        <v>67090</v>
      </c>
    </row>
    <row r="986" spans="1:6" x14ac:dyDescent="0.25">
      <c r="A986">
        <v>2018</v>
      </c>
      <c r="B986" t="s">
        <v>55</v>
      </c>
      <c r="C986" t="s">
        <v>25</v>
      </c>
      <c r="D986" s="1">
        <v>2378</v>
      </c>
      <c r="E986" s="1">
        <v>15823</v>
      </c>
      <c r="F986" s="2">
        <v>41084</v>
      </c>
    </row>
    <row r="987" spans="1:6" x14ac:dyDescent="0.25">
      <c r="A987">
        <v>2018</v>
      </c>
      <c r="B987" t="s">
        <v>55</v>
      </c>
      <c r="C987" t="s">
        <v>26</v>
      </c>
      <c r="D987">
        <v>641</v>
      </c>
      <c r="E987" s="1">
        <v>19336</v>
      </c>
      <c r="F987" s="2">
        <v>82872</v>
      </c>
    </row>
    <row r="988" spans="1:6" x14ac:dyDescent="0.25">
      <c r="A988">
        <v>2018</v>
      </c>
      <c r="B988" t="s">
        <v>55</v>
      </c>
      <c r="C988" t="s">
        <v>27</v>
      </c>
      <c r="D988">
        <v>344</v>
      </c>
      <c r="E988" s="1">
        <v>2619</v>
      </c>
      <c r="F988" s="2">
        <v>42081</v>
      </c>
    </row>
    <row r="989" spans="1:6" x14ac:dyDescent="0.25">
      <c r="A989">
        <v>2018</v>
      </c>
      <c r="B989" t="s">
        <v>55</v>
      </c>
      <c r="C989" t="s">
        <v>28</v>
      </c>
      <c r="D989" s="1">
        <v>1003</v>
      </c>
      <c r="E989" s="1">
        <v>12165</v>
      </c>
      <c r="F989" s="2">
        <v>39981</v>
      </c>
    </row>
    <row r="990" spans="1:6" x14ac:dyDescent="0.25">
      <c r="A990">
        <v>2018</v>
      </c>
      <c r="B990" t="s">
        <v>55</v>
      </c>
      <c r="C990" t="s">
        <v>29</v>
      </c>
      <c r="D990" s="1">
        <v>2007</v>
      </c>
      <c r="E990" s="1">
        <v>35856</v>
      </c>
      <c r="F990" s="2">
        <v>64393</v>
      </c>
    </row>
    <row r="991" spans="1:6" x14ac:dyDescent="0.25">
      <c r="A991">
        <v>2018</v>
      </c>
      <c r="B991" t="s">
        <v>55</v>
      </c>
      <c r="C991" t="s">
        <v>30</v>
      </c>
      <c r="D991" s="1">
        <v>3062</v>
      </c>
      <c r="E991" s="1">
        <v>31787</v>
      </c>
      <c r="F991" s="2">
        <v>41230</v>
      </c>
    </row>
    <row r="992" spans="1:6" x14ac:dyDescent="0.25">
      <c r="A992">
        <v>2018</v>
      </c>
      <c r="B992" t="s">
        <v>55</v>
      </c>
      <c r="C992" t="s">
        <v>31</v>
      </c>
      <c r="D992" s="1">
        <v>3330</v>
      </c>
      <c r="E992" s="1">
        <v>30208</v>
      </c>
      <c r="F992" s="2">
        <v>39062</v>
      </c>
    </row>
    <row r="993" spans="1:6" x14ac:dyDescent="0.25">
      <c r="A993">
        <v>2018</v>
      </c>
      <c r="B993" t="s">
        <v>55</v>
      </c>
      <c r="C993" t="s">
        <v>32</v>
      </c>
      <c r="D993" s="1">
        <v>1766</v>
      </c>
      <c r="E993" s="1">
        <v>25422</v>
      </c>
      <c r="F993" s="2">
        <v>95073</v>
      </c>
    </row>
    <row r="994" spans="1:6" x14ac:dyDescent="0.25">
      <c r="A994">
        <v>2018</v>
      </c>
      <c r="B994" t="s">
        <v>55</v>
      </c>
      <c r="C994" t="s">
        <v>33</v>
      </c>
      <c r="D994" s="1">
        <v>2470</v>
      </c>
      <c r="E994" s="1">
        <v>28520</v>
      </c>
      <c r="F994" s="2">
        <v>51145</v>
      </c>
    </row>
    <row r="995" spans="1:6" x14ac:dyDescent="0.25">
      <c r="A995">
        <v>2018</v>
      </c>
      <c r="B995" t="s">
        <v>55</v>
      </c>
      <c r="C995" t="s">
        <v>34</v>
      </c>
      <c r="D995" s="1">
        <v>4348</v>
      </c>
      <c r="E995" s="1">
        <v>64020</v>
      </c>
      <c r="F995" s="2">
        <v>91135</v>
      </c>
    </row>
    <row r="996" spans="1:6" x14ac:dyDescent="0.25">
      <c r="A996">
        <v>2018</v>
      </c>
      <c r="B996" t="s">
        <v>55</v>
      </c>
      <c r="C996" t="s">
        <v>35</v>
      </c>
      <c r="D996" s="1">
        <v>4560</v>
      </c>
      <c r="E996" s="1">
        <v>53530</v>
      </c>
      <c r="F996" s="2">
        <v>37495</v>
      </c>
    </row>
    <row r="997" spans="1:6" x14ac:dyDescent="0.25">
      <c r="A997">
        <v>2018</v>
      </c>
      <c r="B997" t="s">
        <v>55</v>
      </c>
      <c r="C997" t="s">
        <v>36</v>
      </c>
      <c r="D997" s="1">
        <v>3585</v>
      </c>
      <c r="E997" s="1">
        <v>52523</v>
      </c>
      <c r="F997" s="2">
        <v>62951</v>
      </c>
    </row>
    <row r="998" spans="1:6" x14ac:dyDescent="0.25">
      <c r="A998">
        <v>2018</v>
      </c>
      <c r="B998" t="s">
        <v>55</v>
      </c>
      <c r="C998" t="s">
        <v>37</v>
      </c>
      <c r="D998">
        <v>194</v>
      </c>
      <c r="E998" s="1">
        <v>1056</v>
      </c>
      <c r="F998" s="2">
        <v>39071</v>
      </c>
    </row>
    <row r="999" spans="1:6" x14ac:dyDescent="0.25">
      <c r="A999">
        <v>2018</v>
      </c>
      <c r="B999" t="s">
        <v>55</v>
      </c>
      <c r="C999" t="s">
        <v>38</v>
      </c>
      <c r="D999" s="1">
        <v>1286</v>
      </c>
      <c r="E999" s="1">
        <v>12662</v>
      </c>
      <c r="F999" s="2">
        <v>40536</v>
      </c>
    </row>
    <row r="1000" spans="1:6" x14ac:dyDescent="0.25">
      <c r="A1000">
        <v>2018</v>
      </c>
      <c r="B1000" t="s">
        <v>55</v>
      </c>
      <c r="C1000" t="s">
        <v>39</v>
      </c>
      <c r="D1000" s="1">
        <v>1047</v>
      </c>
      <c r="E1000" s="1">
        <v>6831</v>
      </c>
      <c r="F1000" s="2">
        <v>42904</v>
      </c>
    </row>
    <row r="1001" spans="1:6" x14ac:dyDescent="0.25">
      <c r="A1001">
        <v>2018</v>
      </c>
      <c r="B1001" t="s">
        <v>55</v>
      </c>
      <c r="C1001" t="s">
        <v>40</v>
      </c>
      <c r="D1001" s="1">
        <v>1099</v>
      </c>
      <c r="E1001" s="1">
        <v>11051</v>
      </c>
      <c r="F1001" s="2">
        <v>46634</v>
      </c>
    </row>
    <row r="1002" spans="1:6" x14ac:dyDescent="0.25">
      <c r="A1002">
        <v>2018</v>
      </c>
      <c r="B1002" t="s">
        <v>55</v>
      </c>
      <c r="C1002" t="s">
        <v>41</v>
      </c>
      <c r="D1002" s="1">
        <v>19761</v>
      </c>
      <c r="E1002" s="1">
        <v>304275</v>
      </c>
      <c r="F1002" s="2">
        <v>109449</v>
      </c>
    </row>
    <row r="1003" spans="1:6" x14ac:dyDescent="0.25">
      <c r="A1003">
        <v>2018</v>
      </c>
      <c r="B1003" t="s">
        <v>55</v>
      </c>
      <c r="C1003" t="s">
        <v>42</v>
      </c>
      <c r="D1003" s="1">
        <v>1002</v>
      </c>
      <c r="E1003" s="1">
        <v>15159</v>
      </c>
      <c r="F1003" s="2">
        <v>61171</v>
      </c>
    </row>
    <row r="1004" spans="1:6" x14ac:dyDescent="0.25">
      <c r="A1004">
        <v>2018</v>
      </c>
      <c r="B1004" t="s">
        <v>55</v>
      </c>
      <c r="C1004" t="s">
        <v>43</v>
      </c>
      <c r="D1004">
        <v>548</v>
      </c>
      <c r="E1004" s="1">
        <v>3930</v>
      </c>
      <c r="F1004" s="2">
        <v>38605</v>
      </c>
    </row>
    <row r="1005" spans="1:6" x14ac:dyDescent="0.25">
      <c r="A1005">
        <v>2018</v>
      </c>
      <c r="B1005" t="s">
        <v>55</v>
      </c>
      <c r="C1005" t="s">
        <v>44</v>
      </c>
      <c r="D1005" s="1">
        <v>2101</v>
      </c>
      <c r="E1005" s="1">
        <v>19281</v>
      </c>
      <c r="F1005" s="2">
        <v>47043</v>
      </c>
    </row>
    <row r="1006" spans="1:6" x14ac:dyDescent="0.25">
      <c r="A1006">
        <v>2018</v>
      </c>
      <c r="B1006" t="s">
        <v>55</v>
      </c>
      <c r="C1006" t="s">
        <v>45</v>
      </c>
      <c r="D1006" s="1">
        <v>7317</v>
      </c>
      <c r="E1006" s="1">
        <v>109210</v>
      </c>
      <c r="F1006" s="2">
        <v>33346</v>
      </c>
    </row>
    <row r="1007" spans="1:6" x14ac:dyDescent="0.25">
      <c r="A1007">
        <v>2018</v>
      </c>
      <c r="B1007" t="s">
        <v>55</v>
      </c>
      <c r="C1007" t="s">
        <v>46</v>
      </c>
      <c r="D1007" s="1">
        <v>1199</v>
      </c>
      <c r="E1007" s="1">
        <v>23481</v>
      </c>
      <c r="F1007" s="2">
        <v>80012</v>
      </c>
    </row>
    <row r="1008" spans="1:6" x14ac:dyDescent="0.25">
      <c r="A1008">
        <v>2018</v>
      </c>
      <c r="B1008" t="s">
        <v>55</v>
      </c>
      <c r="C1008" t="s">
        <v>47</v>
      </c>
      <c r="D1008" s="1">
        <v>2926</v>
      </c>
      <c r="E1008" s="1">
        <v>32257</v>
      </c>
      <c r="F1008" s="2">
        <v>39437</v>
      </c>
    </row>
    <row r="1009" spans="1:6" x14ac:dyDescent="0.25">
      <c r="A1009">
        <v>2018</v>
      </c>
      <c r="B1009" t="s">
        <v>55</v>
      </c>
      <c r="C1009" t="s">
        <v>48</v>
      </c>
      <c r="D1009" s="1">
        <v>1438</v>
      </c>
      <c r="E1009" s="1">
        <v>23488</v>
      </c>
      <c r="F1009" s="2">
        <v>83751</v>
      </c>
    </row>
    <row r="1010" spans="1:6" x14ac:dyDescent="0.25">
      <c r="A1010">
        <v>2018</v>
      </c>
      <c r="B1010" t="s">
        <v>51</v>
      </c>
      <c r="C1010" t="s">
        <v>1</v>
      </c>
      <c r="D1010" s="1">
        <v>9897</v>
      </c>
      <c r="E1010" s="1">
        <v>89207</v>
      </c>
      <c r="F1010" s="2">
        <v>53957</v>
      </c>
    </row>
    <row r="1011" spans="1:6" x14ac:dyDescent="0.25">
      <c r="A1011">
        <v>2018</v>
      </c>
      <c r="B1011" t="s">
        <v>51</v>
      </c>
      <c r="C1011" t="s">
        <v>2</v>
      </c>
      <c r="D1011" s="1">
        <v>12867</v>
      </c>
      <c r="E1011" s="1">
        <v>158251</v>
      </c>
      <c r="F1011" s="2">
        <v>55989</v>
      </c>
    </row>
    <row r="1012" spans="1:6" x14ac:dyDescent="0.25">
      <c r="A1012">
        <v>2018</v>
      </c>
      <c r="B1012" t="s">
        <v>51</v>
      </c>
      <c r="C1012" t="s">
        <v>3</v>
      </c>
      <c r="D1012" s="1">
        <v>6945</v>
      </c>
      <c r="E1012" s="1">
        <v>50848</v>
      </c>
      <c r="F1012" s="2">
        <v>47988</v>
      </c>
    </row>
    <row r="1013" spans="1:6" x14ac:dyDescent="0.25">
      <c r="A1013">
        <v>2018</v>
      </c>
      <c r="B1013" t="s">
        <v>51</v>
      </c>
      <c r="C1013" t="s">
        <v>4</v>
      </c>
      <c r="D1013" s="1">
        <v>80657</v>
      </c>
      <c r="E1013" s="1">
        <v>860278</v>
      </c>
      <c r="F1013" s="2">
        <v>70084</v>
      </c>
    </row>
    <row r="1014" spans="1:6" x14ac:dyDescent="0.25">
      <c r="A1014">
        <v>2018</v>
      </c>
      <c r="B1014" t="s">
        <v>51</v>
      </c>
      <c r="C1014" t="s">
        <v>5</v>
      </c>
      <c r="D1014" s="1">
        <v>19884</v>
      </c>
      <c r="E1014" s="1">
        <v>173096</v>
      </c>
      <c r="F1014" s="2">
        <v>62414</v>
      </c>
    </row>
    <row r="1015" spans="1:6" x14ac:dyDescent="0.25">
      <c r="A1015">
        <v>2018</v>
      </c>
      <c r="B1015" t="s">
        <v>51</v>
      </c>
      <c r="C1015" t="s">
        <v>6</v>
      </c>
      <c r="D1015" s="1">
        <v>9399</v>
      </c>
      <c r="E1015" s="1">
        <v>58769</v>
      </c>
      <c r="F1015" s="2">
        <v>69727</v>
      </c>
    </row>
    <row r="1016" spans="1:6" x14ac:dyDescent="0.25">
      <c r="A1016">
        <v>2018</v>
      </c>
      <c r="B1016" t="s">
        <v>51</v>
      </c>
      <c r="C1016" t="s">
        <v>7</v>
      </c>
      <c r="D1016" s="1">
        <v>2871</v>
      </c>
      <c r="E1016" s="1">
        <v>22192</v>
      </c>
      <c r="F1016" s="2">
        <v>59797</v>
      </c>
    </row>
    <row r="1017" spans="1:6" x14ac:dyDescent="0.25">
      <c r="A1017">
        <v>2018</v>
      </c>
      <c r="B1017" t="s">
        <v>51</v>
      </c>
      <c r="C1017" t="s">
        <v>8</v>
      </c>
      <c r="D1017" s="1">
        <v>70819</v>
      </c>
      <c r="E1017" s="1">
        <v>541083</v>
      </c>
      <c r="F1017" s="2">
        <v>51286</v>
      </c>
    </row>
    <row r="1018" spans="1:6" x14ac:dyDescent="0.25">
      <c r="A1018">
        <v>2018</v>
      </c>
      <c r="B1018" t="s">
        <v>51</v>
      </c>
      <c r="C1018" t="s">
        <v>9</v>
      </c>
      <c r="D1018" s="1">
        <v>20577</v>
      </c>
      <c r="E1018" s="1">
        <v>195221</v>
      </c>
      <c r="F1018" s="2">
        <v>61018</v>
      </c>
    </row>
    <row r="1019" spans="1:6" x14ac:dyDescent="0.25">
      <c r="A1019">
        <v>2018</v>
      </c>
      <c r="B1019" t="s">
        <v>51</v>
      </c>
      <c r="C1019" t="s">
        <v>10</v>
      </c>
      <c r="D1019" s="1">
        <v>8174</v>
      </c>
      <c r="E1019" s="1">
        <v>46827</v>
      </c>
      <c r="F1019" s="2">
        <v>44285</v>
      </c>
    </row>
    <row r="1020" spans="1:6" x14ac:dyDescent="0.25">
      <c r="A1020">
        <v>2018</v>
      </c>
      <c r="B1020" t="s">
        <v>51</v>
      </c>
      <c r="C1020" t="s">
        <v>11</v>
      </c>
      <c r="D1020" s="1">
        <v>32305</v>
      </c>
      <c r="E1020" s="1">
        <v>225991</v>
      </c>
      <c r="F1020" s="2">
        <v>71957</v>
      </c>
    </row>
    <row r="1021" spans="1:6" x14ac:dyDescent="0.25">
      <c r="A1021">
        <v>2018</v>
      </c>
      <c r="B1021" t="s">
        <v>51</v>
      </c>
      <c r="C1021" t="s">
        <v>12</v>
      </c>
      <c r="D1021" s="1">
        <v>15176</v>
      </c>
      <c r="E1021" s="1">
        <v>141028</v>
      </c>
      <c r="F1021" s="2">
        <v>58404</v>
      </c>
    </row>
    <row r="1022" spans="1:6" x14ac:dyDescent="0.25">
      <c r="A1022">
        <v>2018</v>
      </c>
      <c r="B1022" t="s">
        <v>51</v>
      </c>
      <c r="C1022" t="s">
        <v>13</v>
      </c>
      <c r="D1022" s="1">
        <v>9447</v>
      </c>
      <c r="E1022" s="1">
        <v>77230</v>
      </c>
      <c r="F1022" s="2">
        <v>57435</v>
      </c>
    </row>
    <row r="1023" spans="1:6" x14ac:dyDescent="0.25">
      <c r="A1023">
        <v>2018</v>
      </c>
      <c r="B1023" t="s">
        <v>51</v>
      </c>
      <c r="C1023" t="s">
        <v>14</v>
      </c>
      <c r="D1023" s="1">
        <v>7555</v>
      </c>
      <c r="E1023" s="1">
        <v>61206</v>
      </c>
      <c r="F1023" s="2">
        <v>54735</v>
      </c>
    </row>
    <row r="1024" spans="1:6" x14ac:dyDescent="0.25">
      <c r="A1024">
        <v>2018</v>
      </c>
      <c r="B1024" t="s">
        <v>51</v>
      </c>
      <c r="C1024" t="s">
        <v>15</v>
      </c>
      <c r="D1024" s="1">
        <v>9466</v>
      </c>
      <c r="E1024" s="1">
        <v>77934</v>
      </c>
      <c r="F1024" s="2">
        <v>53957</v>
      </c>
    </row>
    <row r="1025" spans="1:6" x14ac:dyDescent="0.25">
      <c r="A1025">
        <v>2018</v>
      </c>
      <c r="B1025" t="s">
        <v>51</v>
      </c>
      <c r="C1025" t="s">
        <v>16</v>
      </c>
      <c r="D1025" s="1">
        <v>10844</v>
      </c>
      <c r="E1025" s="1">
        <v>151993</v>
      </c>
      <c r="F1025" s="2">
        <v>63892</v>
      </c>
    </row>
    <row r="1026" spans="1:6" x14ac:dyDescent="0.25">
      <c r="A1026">
        <v>2018</v>
      </c>
      <c r="B1026" t="s">
        <v>51</v>
      </c>
      <c r="C1026" t="s">
        <v>17</v>
      </c>
      <c r="D1026" s="1">
        <v>5475</v>
      </c>
      <c r="E1026" s="1">
        <v>29285</v>
      </c>
      <c r="F1026" s="2">
        <v>49575</v>
      </c>
    </row>
    <row r="1027" spans="1:6" x14ac:dyDescent="0.25">
      <c r="A1027">
        <v>2018</v>
      </c>
      <c r="B1027" t="s">
        <v>51</v>
      </c>
      <c r="C1027" t="s">
        <v>18</v>
      </c>
      <c r="D1027" s="1">
        <v>16487</v>
      </c>
      <c r="E1027" s="1">
        <v>163210</v>
      </c>
      <c r="F1027" s="2">
        <v>65971</v>
      </c>
    </row>
    <row r="1028" spans="1:6" x14ac:dyDescent="0.25">
      <c r="A1028">
        <v>2018</v>
      </c>
      <c r="B1028" t="s">
        <v>51</v>
      </c>
      <c r="C1028" t="s">
        <v>19</v>
      </c>
      <c r="D1028" s="1">
        <v>21120</v>
      </c>
      <c r="E1028" s="1">
        <v>158656</v>
      </c>
      <c r="F1028" s="2">
        <v>78802</v>
      </c>
    </row>
    <row r="1029" spans="1:6" x14ac:dyDescent="0.25">
      <c r="A1029">
        <v>2018</v>
      </c>
      <c r="B1029" t="s">
        <v>51</v>
      </c>
      <c r="C1029" t="s">
        <v>20</v>
      </c>
      <c r="D1029" s="1">
        <v>19952</v>
      </c>
      <c r="E1029" s="1">
        <v>168632</v>
      </c>
      <c r="F1029" s="2">
        <v>62378</v>
      </c>
    </row>
    <row r="1030" spans="1:6" x14ac:dyDescent="0.25">
      <c r="A1030">
        <v>2018</v>
      </c>
      <c r="B1030" t="s">
        <v>51</v>
      </c>
      <c r="C1030" t="s">
        <v>21</v>
      </c>
      <c r="D1030" s="1">
        <v>16480</v>
      </c>
      <c r="E1030" s="1">
        <v>121665</v>
      </c>
      <c r="F1030" s="2">
        <v>67248</v>
      </c>
    </row>
    <row r="1031" spans="1:6" x14ac:dyDescent="0.25">
      <c r="A1031">
        <v>2018</v>
      </c>
      <c r="B1031" t="s">
        <v>51</v>
      </c>
      <c r="C1031" t="s">
        <v>22</v>
      </c>
      <c r="D1031" s="1">
        <v>5760</v>
      </c>
      <c r="E1031" s="1">
        <v>43911</v>
      </c>
      <c r="F1031" s="2">
        <v>50325</v>
      </c>
    </row>
    <row r="1032" spans="1:6" x14ac:dyDescent="0.25">
      <c r="A1032">
        <v>2018</v>
      </c>
      <c r="B1032" t="s">
        <v>51</v>
      </c>
      <c r="C1032" t="s">
        <v>23</v>
      </c>
      <c r="D1032" s="1">
        <v>14591</v>
      </c>
      <c r="E1032" s="1">
        <v>122662</v>
      </c>
      <c r="F1032" s="2">
        <v>59442</v>
      </c>
    </row>
    <row r="1033" spans="1:6" x14ac:dyDescent="0.25">
      <c r="A1033">
        <v>2018</v>
      </c>
      <c r="B1033" t="s">
        <v>51</v>
      </c>
      <c r="C1033" t="s">
        <v>24</v>
      </c>
      <c r="D1033" s="1">
        <v>6514</v>
      </c>
      <c r="E1033" s="1">
        <v>29077</v>
      </c>
      <c r="F1033" s="2">
        <v>52969</v>
      </c>
    </row>
    <row r="1034" spans="1:6" x14ac:dyDescent="0.25">
      <c r="A1034">
        <v>2018</v>
      </c>
      <c r="B1034" t="s">
        <v>51</v>
      </c>
      <c r="C1034" t="s">
        <v>25</v>
      </c>
      <c r="D1034" s="1">
        <v>7068</v>
      </c>
      <c r="E1034" s="1">
        <v>52320</v>
      </c>
      <c r="F1034" s="2">
        <v>51657</v>
      </c>
    </row>
    <row r="1035" spans="1:6" x14ac:dyDescent="0.25">
      <c r="A1035">
        <v>2018</v>
      </c>
      <c r="B1035" t="s">
        <v>51</v>
      </c>
      <c r="C1035" t="s">
        <v>26</v>
      </c>
      <c r="D1035" s="1">
        <v>5898</v>
      </c>
      <c r="E1035" s="1">
        <v>89125</v>
      </c>
      <c r="F1035" s="2">
        <v>61123</v>
      </c>
    </row>
    <row r="1036" spans="1:6" x14ac:dyDescent="0.25">
      <c r="A1036">
        <v>2018</v>
      </c>
      <c r="B1036" t="s">
        <v>51</v>
      </c>
      <c r="C1036" t="s">
        <v>27</v>
      </c>
      <c r="D1036" s="1">
        <v>4498</v>
      </c>
      <c r="E1036" s="1">
        <v>26890</v>
      </c>
      <c r="F1036" s="2">
        <v>62661</v>
      </c>
    </row>
    <row r="1037" spans="1:6" x14ac:dyDescent="0.25">
      <c r="A1037">
        <v>2018</v>
      </c>
      <c r="B1037" t="s">
        <v>51</v>
      </c>
      <c r="C1037" t="s">
        <v>28</v>
      </c>
      <c r="D1037" s="1">
        <v>22416</v>
      </c>
      <c r="E1037" s="1">
        <v>157147</v>
      </c>
      <c r="F1037" s="2">
        <v>72658</v>
      </c>
    </row>
    <row r="1038" spans="1:6" x14ac:dyDescent="0.25">
      <c r="A1038">
        <v>2018</v>
      </c>
      <c r="B1038" t="s">
        <v>51</v>
      </c>
      <c r="C1038" t="s">
        <v>29</v>
      </c>
      <c r="D1038" s="1">
        <v>5337</v>
      </c>
      <c r="E1038" s="1">
        <v>47224</v>
      </c>
      <c r="F1038" s="2">
        <v>49350</v>
      </c>
    </row>
    <row r="1039" spans="1:6" x14ac:dyDescent="0.25">
      <c r="A1039">
        <v>2018</v>
      </c>
      <c r="B1039" t="s">
        <v>51</v>
      </c>
      <c r="C1039" t="s">
        <v>30</v>
      </c>
      <c r="D1039" s="1">
        <v>50281</v>
      </c>
      <c r="E1039" s="1">
        <v>399629</v>
      </c>
      <c r="F1039" s="2">
        <v>73248</v>
      </c>
    </row>
    <row r="1040" spans="1:6" x14ac:dyDescent="0.25">
      <c r="A1040">
        <v>2018</v>
      </c>
      <c r="B1040" t="s">
        <v>51</v>
      </c>
      <c r="C1040" t="s">
        <v>31</v>
      </c>
      <c r="D1040" s="1">
        <v>26741</v>
      </c>
      <c r="E1040" s="1">
        <v>220692</v>
      </c>
      <c r="F1040" s="2">
        <v>54587</v>
      </c>
    </row>
    <row r="1041" spans="1:6" x14ac:dyDescent="0.25">
      <c r="A1041">
        <v>2018</v>
      </c>
      <c r="B1041" t="s">
        <v>51</v>
      </c>
      <c r="C1041" t="s">
        <v>32</v>
      </c>
      <c r="D1041" s="1">
        <v>3798</v>
      </c>
      <c r="E1041" s="1">
        <v>26002</v>
      </c>
      <c r="F1041" s="2">
        <v>64586</v>
      </c>
    </row>
    <row r="1042" spans="1:6" x14ac:dyDescent="0.25">
      <c r="A1042">
        <v>2018</v>
      </c>
      <c r="B1042" t="s">
        <v>51</v>
      </c>
      <c r="C1042" t="s">
        <v>33</v>
      </c>
      <c r="D1042" s="1">
        <v>23076</v>
      </c>
      <c r="E1042" s="1">
        <v>220709</v>
      </c>
      <c r="F1042" s="2">
        <v>61194</v>
      </c>
    </row>
    <row r="1043" spans="1:6" x14ac:dyDescent="0.25">
      <c r="A1043">
        <v>2018</v>
      </c>
      <c r="B1043" t="s">
        <v>51</v>
      </c>
      <c r="C1043" t="s">
        <v>34</v>
      </c>
      <c r="D1043" s="1">
        <v>9765</v>
      </c>
      <c r="E1043" s="1">
        <v>80295</v>
      </c>
      <c r="F1043" s="2">
        <v>52777</v>
      </c>
    </row>
    <row r="1044" spans="1:6" x14ac:dyDescent="0.25">
      <c r="A1044">
        <v>2018</v>
      </c>
      <c r="B1044" t="s">
        <v>51</v>
      </c>
      <c r="C1044" t="s">
        <v>35</v>
      </c>
      <c r="D1044" s="1">
        <v>14244</v>
      </c>
      <c r="E1044" s="1">
        <v>104561</v>
      </c>
      <c r="F1044" s="2">
        <v>60523</v>
      </c>
    </row>
    <row r="1045" spans="1:6" x14ac:dyDescent="0.25">
      <c r="A1045">
        <v>2018</v>
      </c>
      <c r="B1045" t="s">
        <v>51</v>
      </c>
      <c r="C1045" t="s">
        <v>36</v>
      </c>
      <c r="D1045" s="1">
        <v>28749</v>
      </c>
      <c r="E1045" s="1">
        <v>255910</v>
      </c>
      <c r="F1045" s="2">
        <v>66852</v>
      </c>
    </row>
    <row r="1046" spans="1:6" x14ac:dyDescent="0.25">
      <c r="A1046">
        <v>2018</v>
      </c>
      <c r="B1046" t="s">
        <v>51</v>
      </c>
      <c r="C1046" t="s">
        <v>37</v>
      </c>
      <c r="D1046" s="1">
        <v>3743</v>
      </c>
      <c r="E1046" s="1">
        <v>19229</v>
      </c>
      <c r="F1046" s="2">
        <v>61579</v>
      </c>
    </row>
    <row r="1047" spans="1:6" x14ac:dyDescent="0.25">
      <c r="A1047">
        <v>2018</v>
      </c>
      <c r="B1047" t="s">
        <v>51</v>
      </c>
      <c r="C1047" t="s">
        <v>38</v>
      </c>
      <c r="D1047" s="1">
        <v>12124</v>
      </c>
      <c r="E1047" s="1">
        <v>104324</v>
      </c>
      <c r="F1047" s="2">
        <v>52634</v>
      </c>
    </row>
    <row r="1048" spans="1:6" x14ac:dyDescent="0.25">
      <c r="A1048">
        <v>2018</v>
      </c>
      <c r="B1048" t="s">
        <v>51</v>
      </c>
      <c r="C1048" t="s">
        <v>39</v>
      </c>
      <c r="D1048" s="1">
        <v>3884</v>
      </c>
      <c r="E1048" s="1">
        <v>22971</v>
      </c>
      <c r="F1048" s="2">
        <v>48981</v>
      </c>
    </row>
    <row r="1049" spans="1:6" x14ac:dyDescent="0.25">
      <c r="A1049">
        <v>2018</v>
      </c>
      <c r="B1049" t="s">
        <v>51</v>
      </c>
      <c r="C1049" t="s">
        <v>40</v>
      </c>
      <c r="D1049" s="1">
        <v>12110</v>
      </c>
      <c r="E1049" s="1">
        <v>124488</v>
      </c>
      <c r="F1049" s="2">
        <v>57033</v>
      </c>
    </row>
    <row r="1050" spans="1:6" x14ac:dyDescent="0.25">
      <c r="A1050">
        <v>2018</v>
      </c>
      <c r="B1050" t="s">
        <v>51</v>
      </c>
      <c r="C1050" t="s">
        <v>41</v>
      </c>
      <c r="D1050" s="1">
        <v>51405</v>
      </c>
      <c r="E1050" s="1">
        <v>739156</v>
      </c>
      <c r="F1050" s="2">
        <v>65554</v>
      </c>
    </row>
    <row r="1051" spans="1:6" x14ac:dyDescent="0.25">
      <c r="A1051">
        <v>2018</v>
      </c>
      <c r="B1051" t="s">
        <v>51</v>
      </c>
      <c r="C1051" t="s">
        <v>42</v>
      </c>
      <c r="D1051" s="1">
        <v>11572</v>
      </c>
      <c r="E1051" s="1">
        <v>104339</v>
      </c>
      <c r="F1051" s="2">
        <v>51052</v>
      </c>
    </row>
    <row r="1052" spans="1:6" x14ac:dyDescent="0.25">
      <c r="A1052">
        <v>2018</v>
      </c>
      <c r="B1052" t="s">
        <v>51</v>
      </c>
      <c r="C1052" t="s">
        <v>43</v>
      </c>
      <c r="D1052" s="1">
        <v>2878</v>
      </c>
      <c r="E1052" s="1">
        <v>15262</v>
      </c>
      <c r="F1052" s="2">
        <v>51025</v>
      </c>
    </row>
    <row r="1053" spans="1:6" x14ac:dyDescent="0.25">
      <c r="A1053">
        <v>2018</v>
      </c>
      <c r="B1053" t="s">
        <v>51</v>
      </c>
      <c r="C1053" t="s">
        <v>44</v>
      </c>
      <c r="D1053" s="1">
        <v>21508</v>
      </c>
      <c r="E1053" s="1">
        <v>197292</v>
      </c>
      <c r="F1053" s="2">
        <v>58050</v>
      </c>
    </row>
    <row r="1054" spans="1:6" x14ac:dyDescent="0.25">
      <c r="A1054">
        <v>2018</v>
      </c>
      <c r="B1054" t="s">
        <v>51</v>
      </c>
      <c r="C1054" t="s">
        <v>45</v>
      </c>
      <c r="D1054" s="1">
        <v>26015</v>
      </c>
      <c r="E1054" s="1">
        <v>199867</v>
      </c>
      <c r="F1054" s="2">
        <v>64432</v>
      </c>
    </row>
    <row r="1055" spans="1:6" x14ac:dyDescent="0.25">
      <c r="A1055">
        <v>2018</v>
      </c>
      <c r="B1055" t="s">
        <v>51</v>
      </c>
      <c r="C1055" t="s">
        <v>46</v>
      </c>
      <c r="D1055" s="1">
        <v>4435</v>
      </c>
      <c r="E1055" s="1">
        <v>40126</v>
      </c>
      <c r="F1055" s="2">
        <v>72255</v>
      </c>
    </row>
    <row r="1056" spans="1:6" x14ac:dyDescent="0.25">
      <c r="A1056">
        <v>2018</v>
      </c>
      <c r="B1056" t="s">
        <v>51</v>
      </c>
      <c r="C1056" t="s">
        <v>47</v>
      </c>
      <c r="D1056" s="1">
        <v>14814</v>
      </c>
      <c r="E1056" s="1">
        <v>122396</v>
      </c>
      <c r="F1056" s="2">
        <v>62063</v>
      </c>
    </row>
    <row r="1057" spans="1:6" x14ac:dyDescent="0.25">
      <c r="A1057">
        <v>2018</v>
      </c>
      <c r="B1057" t="s">
        <v>51</v>
      </c>
      <c r="C1057" t="s">
        <v>48</v>
      </c>
      <c r="D1057" s="1">
        <v>3375</v>
      </c>
      <c r="E1057" s="1">
        <v>20253</v>
      </c>
      <c r="F1057" s="2">
        <v>53554</v>
      </c>
    </row>
    <row r="1058" spans="1:6" x14ac:dyDescent="0.25">
      <c r="A1058">
        <v>2018</v>
      </c>
      <c r="B1058" t="s">
        <v>52</v>
      </c>
      <c r="C1058" t="s">
        <v>1</v>
      </c>
      <c r="D1058" s="1">
        <v>5566</v>
      </c>
      <c r="E1058" s="1">
        <v>266798</v>
      </c>
      <c r="F1058" s="2">
        <v>57068</v>
      </c>
    </row>
    <row r="1059" spans="1:6" x14ac:dyDescent="0.25">
      <c r="A1059">
        <v>2018</v>
      </c>
      <c r="B1059" t="s">
        <v>52</v>
      </c>
      <c r="C1059" t="s">
        <v>2</v>
      </c>
      <c r="D1059" s="1">
        <v>4926</v>
      </c>
      <c r="E1059" s="1">
        <v>169675</v>
      </c>
      <c r="F1059" s="2">
        <v>76139</v>
      </c>
    </row>
    <row r="1060" spans="1:6" x14ac:dyDescent="0.25">
      <c r="A1060">
        <v>2018</v>
      </c>
      <c r="B1060" t="s">
        <v>52</v>
      </c>
      <c r="C1060" t="s">
        <v>3</v>
      </c>
      <c r="D1060" s="1">
        <v>2918</v>
      </c>
      <c r="E1060" s="1">
        <v>160597</v>
      </c>
      <c r="F1060" s="2">
        <v>47984</v>
      </c>
    </row>
    <row r="1061" spans="1:6" x14ac:dyDescent="0.25">
      <c r="A1061">
        <v>2018</v>
      </c>
      <c r="B1061" t="s">
        <v>52</v>
      </c>
      <c r="C1061" t="s">
        <v>4</v>
      </c>
      <c r="D1061" s="1">
        <v>44706</v>
      </c>
      <c r="E1061" s="1">
        <v>1320068</v>
      </c>
      <c r="F1061" s="2">
        <v>95627</v>
      </c>
    </row>
    <row r="1062" spans="1:6" x14ac:dyDescent="0.25">
      <c r="A1062">
        <v>2018</v>
      </c>
      <c r="B1062" t="s">
        <v>52</v>
      </c>
      <c r="C1062" t="s">
        <v>5</v>
      </c>
      <c r="D1062" s="1">
        <v>5804</v>
      </c>
      <c r="E1062" s="1">
        <v>147285</v>
      </c>
      <c r="F1062" s="2">
        <v>70677</v>
      </c>
    </row>
    <row r="1063" spans="1:6" x14ac:dyDescent="0.25">
      <c r="A1063">
        <v>2018</v>
      </c>
      <c r="B1063" t="s">
        <v>52</v>
      </c>
      <c r="C1063" t="s">
        <v>6</v>
      </c>
      <c r="D1063" s="1">
        <v>4408</v>
      </c>
      <c r="E1063" s="1">
        <v>160500</v>
      </c>
      <c r="F1063" s="2">
        <v>82569</v>
      </c>
    </row>
    <row r="1064" spans="1:6" x14ac:dyDescent="0.25">
      <c r="A1064">
        <v>2018</v>
      </c>
      <c r="B1064" t="s">
        <v>52</v>
      </c>
      <c r="C1064" t="s">
        <v>7</v>
      </c>
      <c r="D1064">
        <v>661</v>
      </c>
      <c r="E1064" s="1">
        <v>27077</v>
      </c>
      <c r="F1064" s="2">
        <v>64153</v>
      </c>
    </row>
    <row r="1065" spans="1:6" x14ac:dyDescent="0.25">
      <c r="A1065">
        <v>2018</v>
      </c>
      <c r="B1065" t="s">
        <v>52</v>
      </c>
      <c r="C1065" t="s">
        <v>8</v>
      </c>
      <c r="D1065" s="1">
        <v>20548</v>
      </c>
      <c r="E1065" s="1">
        <v>371590</v>
      </c>
      <c r="F1065" s="2">
        <v>61740</v>
      </c>
    </row>
    <row r="1066" spans="1:6" x14ac:dyDescent="0.25">
      <c r="A1066">
        <v>2018</v>
      </c>
      <c r="B1066" t="s">
        <v>52</v>
      </c>
      <c r="C1066" t="s">
        <v>9</v>
      </c>
      <c r="D1066" s="1">
        <v>9884</v>
      </c>
      <c r="E1066" s="1">
        <v>406818</v>
      </c>
      <c r="F1066" s="2">
        <v>59168</v>
      </c>
    </row>
    <row r="1067" spans="1:6" x14ac:dyDescent="0.25">
      <c r="A1067">
        <v>2018</v>
      </c>
      <c r="B1067" t="s">
        <v>52</v>
      </c>
      <c r="C1067" t="s">
        <v>10</v>
      </c>
      <c r="D1067" s="1">
        <v>2807</v>
      </c>
      <c r="E1067" s="1">
        <v>67792</v>
      </c>
      <c r="F1067" s="2">
        <v>63932</v>
      </c>
    </row>
    <row r="1068" spans="1:6" x14ac:dyDescent="0.25">
      <c r="A1068">
        <v>2018</v>
      </c>
      <c r="B1068" t="s">
        <v>52</v>
      </c>
      <c r="C1068" t="s">
        <v>11</v>
      </c>
      <c r="D1068" s="1">
        <v>17883</v>
      </c>
      <c r="E1068" s="1">
        <v>586130</v>
      </c>
      <c r="F1068" s="2">
        <v>71895</v>
      </c>
    </row>
    <row r="1069" spans="1:6" x14ac:dyDescent="0.25">
      <c r="A1069">
        <v>2018</v>
      </c>
      <c r="B1069" t="s">
        <v>52</v>
      </c>
      <c r="C1069" t="s">
        <v>12</v>
      </c>
      <c r="D1069" s="1">
        <v>8825</v>
      </c>
      <c r="E1069" s="1">
        <v>541836</v>
      </c>
      <c r="F1069" s="2">
        <v>62680</v>
      </c>
    </row>
    <row r="1070" spans="1:6" x14ac:dyDescent="0.25">
      <c r="A1070">
        <v>2018</v>
      </c>
      <c r="B1070" t="s">
        <v>52</v>
      </c>
      <c r="C1070" t="s">
        <v>13</v>
      </c>
      <c r="D1070" s="1">
        <v>4142</v>
      </c>
      <c r="E1070" s="1">
        <v>222586</v>
      </c>
      <c r="F1070" s="2">
        <v>60257</v>
      </c>
    </row>
    <row r="1071" spans="1:6" x14ac:dyDescent="0.25">
      <c r="A1071">
        <v>2018</v>
      </c>
      <c r="B1071" t="s">
        <v>52</v>
      </c>
      <c r="C1071" t="s">
        <v>14</v>
      </c>
      <c r="D1071" s="1">
        <v>3143</v>
      </c>
      <c r="E1071" s="1">
        <v>165056</v>
      </c>
      <c r="F1071" s="2">
        <v>59206</v>
      </c>
    </row>
    <row r="1072" spans="1:6" x14ac:dyDescent="0.25">
      <c r="A1072">
        <v>2018</v>
      </c>
      <c r="B1072" t="s">
        <v>52</v>
      </c>
      <c r="C1072" t="s">
        <v>15</v>
      </c>
      <c r="D1072" s="1">
        <v>4443</v>
      </c>
      <c r="E1072" s="1">
        <v>251454</v>
      </c>
      <c r="F1072" s="2">
        <v>59208</v>
      </c>
    </row>
    <row r="1073" spans="1:6" x14ac:dyDescent="0.25">
      <c r="A1073">
        <v>2018</v>
      </c>
      <c r="B1073" t="s">
        <v>52</v>
      </c>
      <c r="C1073" t="s">
        <v>16</v>
      </c>
      <c r="D1073" s="1">
        <v>4428</v>
      </c>
      <c r="E1073" s="1">
        <v>135510</v>
      </c>
      <c r="F1073" s="2">
        <v>75881</v>
      </c>
    </row>
    <row r="1074" spans="1:6" x14ac:dyDescent="0.25">
      <c r="A1074">
        <v>2018</v>
      </c>
      <c r="B1074" t="s">
        <v>52</v>
      </c>
      <c r="C1074" t="s">
        <v>17</v>
      </c>
      <c r="D1074" s="1">
        <v>1856</v>
      </c>
      <c r="E1074" s="1">
        <v>51836</v>
      </c>
      <c r="F1074" s="2">
        <v>55894</v>
      </c>
    </row>
    <row r="1075" spans="1:6" x14ac:dyDescent="0.25">
      <c r="A1075">
        <v>2018</v>
      </c>
      <c r="B1075" t="s">
        <v>52</v>
      </c>
      <c r="C1075" t="s">
        <v>18</v>
      </c>
      <c r="D1075" s="1">
        <v>4035</v>
      </c>
      <c r="E1075" s="1">
        <v>109683</v>
      </c>
      <c r="F1075" s="2">
        <v>78350</v>
      </c>
    </row>
    <row r="1076" spans="1:6" x14ac:dyDescent="0.25">
      <c r="A1076">
        <v>2018</v>
      </c>
      <c r="B1076" t="s">
        <v>52</v>
      </c>
      <c r="C1076" t="s">
        <v>19</v>
      </c>
      <c r="D1076" s="1">
        <v>6711</v>
      </c>
      <c r="E1076" s="1">
        <v>245091</v>
      </c>
      <c r="F1076" s="2">
        <v>88576</v>
      </c>
    </row>
    <row r="1077" spans="1:6" x14ac:dyDescent="0.25">
      <c r="A1077">
        <v>2018</v>
      </c>
      <c r="B1077" t="s">
        <v>52</v>
      </c>
      <c r="C1077" t="s">
        <v>20</v>
      </c>
      <c r="D1077" s="1">
        <v>16070</v>
      </c>
      <c r="E1077" s="1">
        <v>627751</v>
      </c>
      <c r="F1077" s="2">
        <v>67537</v>
      </c>
    </row>
    <row r="1078" spans="1:6" x14ac:dyDescent="0.25">
      <c r="A1078">
        <v>2018</v>
      </c>
      <c r="B1078" t="s">
        <v>52</v>
      </c>
      <c r="C1078" t="s">
        <v>21</v>
      </c>
      <c r="D1078" s="1">
        <v>8487</v>
      </c>
      <c r="E1078" s="1">
        <v>321908</v>
      </c>
      <c r="F1078" s="2">
        <v>67096</v>
      </c>
    </row>
    <row r="1079" spans="1:6" x14ac:dyDescent="0.25">
      <c r="A1079">
        <v>2018</v>
      </c>
      <c r="B1079" t="s">
        <v>52</v>
      </c>
      <c r="C1079" t="s">
        <v>22</v>
      </c>
      <c r="D1079" s="1">
        <v>2421</v>
      </c>
      <c r="E1079" s="1">
        <v>144816</v>
      </c>
      <c r="F1079" s="2">
        <v>49254</v>
      </c>
    </row>
    <row r="1080" spans="1:6" x14ac:dyDescent="0.25">
      <c r="A1080">
        <v>2018</v>
      </c>
      <c r="B1080" t="s">
        <v>52</v>
      </c>
      <c r="C1080" t="s">
        <v>23</v>
      </c>
      <c r="D1080" s="1">
        <v>6476</v>
      </c>
      <c r="E1080" s="1">
        <v>273163</v>
      </c>
      <c r="F1080" s="2">
        <v>58359</v>
      </c>
    </row>
    <row r="1081" spans="1:6" x14ac:dyDescent="0.25">
      <c r="A1081">
        <v>2018</v>
      </c>
      <c r="B1081" t="s">
        <v>52</v>
      </c>
      <c r="C1081" t="s">
        <v>24</v>
      </c>
      <c r="D1081" s="1">
        <v>1634</v>
      </c>
      <c r="E1081" s="1">
        <v>20560</v>
      </c>
      <c r="F1081" s="2">
        <v>50194</v>
      </c>
    </row>
    <row r="1082" spans="1:6" x14ac:dyDescent="0.25">
      <c r="A1082">
        <v>2018</v>
      </c>
      <c r="B1082" t="s">
        <v>52</v>
      </c>
      <c r="C1082" t="s">
        <v>25</v>
      </c>
      <c r="D1082" s="1">
        <v>1988</v>
      </c>
      <c r="E1082" s="1">
        <v>99807</v>
      </c>
      <c r="F1082" s="2">
        <v>51566</v>
      </c>
    </row>
    <row r="1083" spans="1:6" x14ac:dyDescent="0.25">
      <c r="A1083">
        <v>2018</v>
      </c>
      <c r="B1083" t="s">
        <v>52</v>
      </c>
      <c r="C1083" t="s">
        <v>26</v>
      </c>
      <c r="D1083" s="1">
        <v>2066</v>
      </c>
      <c r="E1083" s="1">
        <v>55405</v>
      </c>
      <c r="F1083" s="2">
        <v>58543</v>
      </c>
    </row>
    <row r="1084" spans="1:6" x14ac:dyDescent="0.25">
      <c r="A1084">
        <v>2018</v>
      </c>
      <c r="B1084" t="s">
        <v>52</v>
      </c>
      <c r="C1084" t="s">
        <v>27</v>
      </c>
      <c r="D1084" s="1">
        <v>2032</v>
      </c>
      <c r="E1084" s="1">
        <v>70582</v>
      </c>
      <c r="F1084" s="2">
        <v>71722</v>
      </c>
    </row>
    <row r="1085" spans="1:6" x14ac:dyDescent="0.25">
      <c r="A1085">
        <v>2018</v>
      </c>
      <c r="B1085" t="s">
        <v>52</v>
      </c>
      <c r="C1085" t="s">
        <v>28</v>
      </c>
      <c r="D1085" s="1">
        <v>8976</v>
      </c>
      <c r="E1085" s="1">
        <v>245593</v>
      </c>
      <c r="F1085" s="2">
        <v>80088</v>
      </c>
    </row>
    <row r="1086" spans="1:6" x14ac:dyDescent="0.25">
      <c r="A1086">
        <v>2018</v>
      </c>
      <c r="B1086" t="s">
        <v>52</v>
      </c>
      <c r="C1086" t="s">
        <v>29</v>
      </c>
      <c r="D1086" s="1">
        <v>1768</v>
      </c>
      <c r="E1086" s="1">
        <v>27145</v>
      </c>
      <c r="F1086" s="2">
        <v>53139</v>
      </c>
    </row>
    <row r="1087" spans="1:6" x14ac:dyDescent="0.25">
      <c r="A1087">
        <v>2018</v>
      </c>
      <c r="B1087" t="s">
        <v>52</v>
      </c>
      <c r="C1087" t="s">
        <v>30</v>
      </c>
      <c r="D1087" s="1">
        <v>16910</v>
      </c>
      <c r="E1087" s="1">
        <v>441590</v>
      </c>
      <c r="F1087" s="2">
        <v>67614</v>
      </c>
    </row>
    <row r="1088" spans="1:6" x14ac:dyDescent="0.25">
      <c r="A1088">
        <v>2018</v>
      </c>
      <c r="B1088" t="s">
        <v>52</v>
      </c>
      <c r="C1088" t="s">
        <v>31</v>
      </c>
      <c r="D1088" s="1">
        <v>10219</v>
      </c>
      <c r="E1088" s="1">
        <v>474932</v>
      </c>
      <c r="F1088" s="2">
        <v>59827</v>
      </c>
    </row>
    <row r="1089" spans="1:6" x14ac:dyDescent="0.25">
      <c r="A1089">
        <v>2018</v>
      </c>
      <c r="B1089" t="s">
        <v>52</v>
      </c>
      <c r="C1089" t="s">
        <v>32</v>
      </c>
      <c r="D1089">
        <v>807</v>
      </c>
      <c r="E1089" s="1">
        <v>25906</v>
      </c>
      <c r="F1089" s="2">
        <v>53882</v>
      </c>
    </row>
    <row r="1090" spans="1:6" x14ac:dyDescent="0.25">
      <c r="A1090">
        <v>2018</v>
      </c>
      <c r="B1090" t="s">
        <v>52</v>
      </c>
      <c r="C1090" t="s">
        <v>33</v>
      </c>
      <c r="D1090" s="1">
        <v>15409</v>
      </c>
      <c r="E1090" s="1">
        <v>698950</v>
      </c>
      <c r="F1090" s="2">
        <v>61487</v>
      </c>
    </row>
    <row r="1091" spans="1:6" x14ac:dyDescent="0.25">
      <c r="A1091">
        <v>2018</v>
      </c>
      <c r="B1091" t="s">
        <v>52</v>
      </c>
      <c r="C1091" t="s">
        <v>34</v>
      </c>
      <c r="D1091" s="1">
        <v>4164</v>
      </c>
      <c r="E1091" s="1">
        <v>137739</v>
      </c>
      <c r="F1091" s="2">
        <v>58770</v>
      </c>
    </row>
    <row r="1092" spans="1:6" x14ac:dyDescent="0.25">
      <c r="A1092">
        <v>2018</v>
      </c>
      <c r="B1092" t="s">
        <v>52</v>
      </c>
      <c r="C1092" t="s">
        <v>35</v>
      </c>
      <c r="D1092" s="1">
        <v>6240</v>
      </c>
      <c r="E1092" s="1">
        <v>194693</v>
      </c>
      <c r="F1092" s="2">
        <v>70641</v>
      </c>
    </row>
    <row r="1093" spans="1:6" x14ac:dyDescent="0.25">
      <c r="A1093">
        <v>2018</v>
      </c>
      <c r="B1093" t="s">
        <v>52</v>
      </c>
      <c r="C1093" t="s">
        <v>36</v>
      </c>
      <c r="D1093" s="1">
        <v>14407</v>
      </c>
      <c r="E1093" s="1">
        <v>569811</v>
      </c>
      <c r="F1093" s="2">
        <v>62561</v>
      </c>
    </row>
    <row r="1094" spans="1:6" x14ac:dyDescent="0.25">
      <c r="A1094">
        <v>2018</v>
      </c>
      <c r="B1094" t="s">
        <v>52</v>
      </c>
      <c r="C1094" t="s">
        <v>37</v>
      </c>
      <c r="D1094" s="1">
        <v>1572</v>
      </c>
      <c r="E1094" s="1">
        <v>40340</v>
      </c>
      <c r="F1094" s="2">
        <v>58468</v>
      </c>
    </row>
    <row r="1095" spans="1:6" x14ac:dyDescent="0.25">
      <c r="A1095">
        <v>2018</v>
      </c>
      <c r="B1095" t="s">
        <v>52</v>
      </c>
      <c r="C1095" t="s">
        <v>38</v>
      </c>
      <c r="D1095" s="1">
        <v>6087</v>
      </c>
      <c r="E1095" s="1">
        <v>249719</v>
      </c>
      <c r="F1095" s="2">
        <v>59522</v>
      </c>
    </row>
    <row r="1096" spans="1:6" x14ac:dyDescent="0.25">
      <c r="A1096">
        <v>2018</v>
      </c>
      <c r="B1096" t="s">
        <v>52</v>
      </c>
      <c r="C1096" t="s">
        <v>39</v>
      </c>
      <c r="D1096" s="1">
        <v>1084</v>
      </c>
      <c r="E1096" s="1">
        <v>44442</v>
      </c>
      <c r="F1096" s="2">
        <v>49320</v>
      </c>
    </row>
    <row r="1097" spans="1:6" x14ac:dyDescent="0.25">
      <c r="A1097">
        <v>2018</v>
      </c>
      <c r="B1097" t="s">
        <v>52</v>
      </c>
      <c r="C1097" t="s">
        <v>40</v>
      </c>
      <c r="D1097" s="1">
        <v>7051</v>
      </c>
      <c r="E1097" s="1">
        <v>351073</v>
      </c>
      <c r="F1097" s="2">
        <v>59495</v>
      </c>
    </row>
    <row r="1098" spans="1:6" x14ac:dyDescent="0.25">
      <c r="A1098">
        <v>2018</v>
      </c>
      <c r="B1098" t="s">
        <v>52</v>
      </c>
      <c r="C1098" t="s">
        <v>41</v>
      </c>
      <c r="D1098" s="1">
        <v>24758</v>
      </c>
      <c r="E1098" s="1">
        <v>879509</v>
      </c>
      <c r="F1098" s="2">
        <v>77648</v>
      </c>
    </row>
    <row r="1099" spans="1:6" x14ac:dyDescent="0.25">
      <c r="A1099">
        <v>2018</v>
      </c>
      <c r="B1099" t="s">
        <v>52</v>
      </c>
      <c r="C1099" t="s">
        <v>42</v>
      </c>
      <c r="D1099" s="1">
        <v>4386</v>
      </c>
      <c r="E1099" s="1">
        <v>132149</v>
      </c>
      <c r="F1099" s="2">
        <v>58006</v>
      </c>
    </row>
    <row r="1100" spans="1:6" x14ac:dyDescent="0.25">
      <c r="A1100">
        <v>2018</v>
      </c>
      <c r="B1100" t="s">
        <v>52</v>
      </c>
      <c r="C1100" t="s">
        <v>43</v>
      </c>
      <c r="D1100" s="1">
        <v>1108</v>
      </c>
      <c r="E1100" s="1">
        <v>29827</v>
      </c>
      <c r="F1100" s="2">
        <v>59390</v>
      </c>
    </row>
    <row r="1101" spans="1:6" x14ac:dyDescent="0.25">
      <c r="A1101">
        <v>2018</v>
      </c>
      <c r="B1101" t="s">
        <v>52</v>
      </c>
      <c r="C1101" t="s">
        <v>44</v>
      </c>
      <c r="D1101" s="1">
        <v>6750</v>
      </c>
      <c r="E1101" s="1">
        <v>238645</v>
      </c>
      <c r="F1101" s="2">
        <v>59974</v>
      </c>
    </row>
    <row r="1102" spans="1:6" x14ac:dyDescent="0.25">
      <c r="A1102">
        <v>2018</v>
      </c>
      <c r="B1102" t="s">
        <v>52</v>
      </c>
      <c r="C1102" t="s">
        <v>45</v>
      </c>
      <c r="D1102" s="1">
        <v>7798</v>
      </c>
      <c r="E1102" s="1">
        <v>284112</v>
      </c>
      <c r="F1102" s="2">
        <v>79321</v>
      </c>
    </row>
    <row r="1103" spans="1:6" x14ac:dyDescent="0.25">
      <c r="A1103">
        <v>2018</v>
      </c>
      <c r="B1103" t="s">
        <v>52</v>
      </c>
      <c r="C1103" t="s">
        <v>46</v>
      </c>
      <c r="D1103" s="1">
        <v>1268</v>
      </c>
      <c r="E1103" s="1">
        <v>46952</v>
      </c>
      <c r="F1103" s="2">
        <v>60459</v>
      </c>
    </row>
    <row r="1104" spans="1:6" x14ac:dyDescent="0.25">
      <c r="A1104">
        <v>2018</v>
      </c>
      <c r="B1104" t="s">
        <v>52</v>
      </c>
      <c r="C1104" t="s">
        <v>47</v>
      </c>
      <c r="D1104" s="1">
        <v>9432</v>
      </c>
      <c r="E1104" s="1">
        <v>475510</v>
      </c>
      <c r="F1104" s="2">
        <v>58047</v>
      </c>
    </row>
    <row r="1105" spans="1:6" x14ac:dyDescent="0.25">
      <c r="A1105">
        <v>2018</v>
      </c>
      <c r="B1105" t="s">
        <v>52</v>
      </c>
      <c r="C1105" t="s">
        <v>48</v>
      </c>
      <c r="D1105">
        <v>600</v>
      </c>
      <c r="E1105" s="1">
        <v>9721</v>
      </c>
      <c r="F1105" s="2">
        <v>67060</v>
      </c>
    </row>
    <row r="1106" spans="1:6" x14ac:dyDescent="0.25">
      <c r="A1106">
        <v>2018</v>
      </c>
      <c r="B1106" t="s">
        <v>54</v>
      </c>
      <c r="C1106" t="s">
        <v>1</v>
      </c>
      <c r="D1106" s="1">
        <v>32481</v>
      </c>
      <c r="E1106" s="1">
        <v>377561</v>
      </c>
      <c r="F1106" s="2">
        <v>41970</v>
      </c>
    </row>
    <row r="1107" spans="1:6" x14ac:dyDescent="0.25">
      <c r="A1107">
        <v>2018</v>
      </c>
      <c r="B1107" t="s">
        <v>54</v>
      </c>
      <c r="C1107" t="s">
        <v>2</v>
      </c>
      <c r="D1107" s="1">
        <v>31775</v>
      </c>
      <c r="E1107" s="1">
        <v>532318</v>
      </c>
      <c r="F1107" s="2">
        <v>46734</v>
      </c>
    </row>
    <row r="1108" spans="1:6" x14ac:dyDescent="0.25">
      <c r="A1108">
        <v>2018</v>
      </c>
      <c r="B1108" t="s">
        <v>54</v>
      </c>
      <c r="C1108" t="s">
        <v>3</v>
      </c>
      <c r="D1108" s="1">
        <v>21642</v>
      </c>
      <c r="E1108" s="1">
        <v>248584</v>
      </c>
      <c r="F1108" s="2">
        <v>41450</v>
      </c>
    </row>
    <row r="1109" spans="1:6" x14ac:dyDescent="0.25">
      <c r="A1109">
        <v>2018</v>
      </c>
      <c r="B1109" t="s">
        <v>54</v>
      </c>
      <c r="C1109" t="s">
        <v>4</v>
      </c>
      <c r="D1109" s="1">
        <v>196511</v>
      </c>
      <c r="E1109" s="1">
        <v>3033009</v>
      </c>
      <c r="F1109" s="2">
        <v>52020</v>
      </c>
    </row>
    <row r="1110" spans="1:6" x14ac:dyDescent="0.25">
      <c r="A1110">
        <v>2018</v>
      </c>
      <c r="B1110" t="s">
        <v>54</v>
      </c>
      <c r="C1110" t="s">
        <v>5</v>
      </c>
      <c r="D1110" s="1">
        <v>35891</v>
      </c>
      <c r="E1110" s="1">
        <v>466602</v>
      </c>
      <c r="F1110" s="2">
        <v>50043</v>
      </c>
    </row>
    <row r="1111" spans="1:6" x14ac:dyDescent="0.25">
      <c r="A1111">
        <v>2018</v>
      </c>
      <c r="B1111" t="s">
        <v>54</v>
      </c>
      <c r="C1111" t="s">
        <v>6</v>
      </c>
      <c r="D1111" s="1">
        <v>24902</v>
      </c>
      <c r="E1111" s="1">
        <v>296173</v>
      </c>
      <c r="F1111" s="2">
        <v>51041</v>
      </c>
    </row>
    <row r="1112" spans="1:6" x14ac:dyDescent="0.25">
      <c r="A1112">
        <v>2018</v>
      </c>
      <c r="B1112" t="s">
        <v>54</v>
      </c>
      <c r="C1112" t="s">
        <v>7</v>
      </c>
      <c r="D1112" s="1">
        <v>6850</v>
      </c>
      <c r="E1112" s="1">
        <v>79300</v>
      </c>
      <c r="F1112" s="2">
        <v>40843</v>
      </c>
    </row>
    <row r="1113" spans="1:6" x14ac:dyDescent="0.25">
      <c r="A1113">
        <v>2018</v>
      </c>
      <c r="B1113" t="s">
        <v>54</v>
      </c>
      <c r="C1113" t="s">
        <v>8</v>
      </c>
      <c r="D1113" s="1">
        <v>139486</v>
      </c>
      <c r="E1113" s="1">
        <v>1772605</v>
      </c>
      <c r="F1113" s="2">
        <v>44766</v>
      </c>
    </row>
    <row r="1114" spans="1:6" x14ac:dyDescent="0.25">
      <c r="A1114">
        <v>2018</v>
      </c>
      <c r="B1114" t="s">
        <v>54</v>
      </c>
      <c r="C1114" t="s">
        <v>9</v>
      </c>
      <c r="D1114" s="1">
        <v>60996</v>
      </c>
      <c r="E1114" s="1">
        <v>934259</v>
      </c>
      <c r="F1114" s="2">
        <v>49352</v>
      </c>
    </row>
    <row r="1115" spans="1:6" x14ac:dyDescent="0.25">
      <c r="A1115">
        <v>2018</v>
      </c>
      <c r="B1115" t="s">
        <v>54</v>
      </c>
      <c r="C1115" t="s">
        <v>10</v>
      </c>
      <c r="D1115" s="1">
        <v>11969</v>
      </c>
      <c r="E1115" s="1">
        <v>139473</v>
      </c>
      <c r="F1115" s="2">
        <v>39972</v>
      </c>
    </row>
    <row r="1116" spans="1:6" x14ac:dyDescent="0.25">
      <c r="A1116">
        <v>2018</v>
      </c>
      <c r="B1116" t="s">
        <v>54</v>
      </c>
      <c r="C1116" t="s">
        <v>11</v>
      </c>
      <c r="D1116" s="1">
        <v>78063</v>
      </c>
      <c r="E1116" s="1">
        <v>1192654</v>
      </c>
      <c r="F1116" s="2">
        <v>51570</v>
      </c>
    </row>
    <row r="1117" spans="1:6" x14ac:dyDescent="0.25">
      <c r="A1117">
        <v>2018</v>
      </c>
      <c r="B1117" t="s">
        <v>54</v>
      </c>
      <c r="C1117" t="s">
        <v>12</v>
      </c>
      <c r="D1117" s="1">
        <v>40681</v>
      </c>
      <c r="E1117" s="1">
        <v>591234</v>
      </c>
      <c r="F1117" s="2">
        <v>42092</v>
      </c>
    </row>
    <row r="1118" spans="1:6" x14ac:dyDescent="0.25">
      <c r="A1118">
        <v>2018</v>
      </c>
      <c r="B1118" t="s">
        <v>54</v>
      </c>
      <c r="C1118" t="s">
        <v>13</v>
      </c>
      <c r="D1118" s="1">
        <v>23521</v>
      </c>
      <c r="E1118" s="1">
        <v>309603</v>
      </c>
      <c r="F1118" s="2">
        <v>40539</v>
      </c>
    </row>
    <row r="1119" spans="1:6" x14ac:dyDescent="0.25">
      <c r="A1119">
        <v>2018</v>
      </c>
      <c r="B1119" t="s">
        <v>54</v>
      </c>
      <c r="C1119" t="s">
        <v>14</v>
      </c>
      <c r="D1119" s="1">
        <v>20370</v>
      </c>
      <c r="E1119" s="1">
        <v>263858</v>
      </c>
      <c r="F1119" s="2">
        <v>42235</v>
      </c>
    </row>
    <row r="1120" spans="1:6" x14ac:dyDescent="0.25">
      <c r="A1120">
        <v>2018</v>
      </c>
      <c r="B1120" t="s">
        <v>54</v>
      </c>
      <c r="C1120" t="s">
        <v>15</v>
      </c>
      <c r="D1120" s="1">
        <v>28056</v>
      </c>
      <c r="E1120" s="1">
        <v>399946</v>
      </c>
      <c r="F1120" s="2">
        <v>42623</v>
      </c>
    </row>
    <row r="1121" spans="1:6" x14ac:dyDescent="0.25">
      <c r="A1121">
        <v>2018</v>
      </c>
      <c r="B1121" t="s">
        <v>54</v>
      </c>
      <c r="C1121" t="s">
        <v>16</v>
      </c>
      <c r="D1121" s="1">
        <v>30545</v>
      </c>
      <c r="E1121" s="1">
        <v>377555</v>
      </c>
      <c r="F1121" s="2">
        <v>42196</v>
      </c>
    </row>
    <row r="1122" spans="1:6" x14ac:dyDescent="0.25">
      <c r="A1122">
        <v>2018</v>
      </c>
      <c r="B1122" t="s">
        <v>54</v>
      </c>
      <c r="C1122" t="s">
        <v>17</v>
      </c>
      <c r="D1122" s="1">
        <v>10761</v>
      </c>
      <c r="E1122" s="1">
        <v>118191</v>
      </c>
      <c r="F1122" s="2">
        <v>37589</v>
      </c>
    </row>
    <row r="1123" spans="1:6" x14ac:dyDescent="0.25">
      <c r="A1123">
        <v>2018</v>
      </c>
      <c r="B1123" t="s">
        <v>54</v>
      </c>
      <c r="C1123" t="s">
        <v>18</v>
      </c>
      <c r="D1123" s="1">
        <v>32767</v>
      </c>
      <c r="E1123" s="1">
        <v>462590</v>
      </c>
      <c r="F1123" s="2">
        <v>46648</v>
      </c>
    </row>
    <row r="1124" spans="1:6" x14ac:dyDescent="0.25">
      <c r="A1124">
        <v>2018</v>
      </c>
      <c r="B1124" t="s">
        <v>54</v>
      </c>
      <c r="C1124" t="s">
        <v>19</v>
      </c>
      <c r="D1124" s="1">
        <v>42171</v>
      </c>
      <c r="E1124" s="1">
        <v>577061</v>
      </c>
      <c r="F1124" s="2">
        <v>52937</v>
      </c>
    </row>
    <row r="1125" spans="1:6" x14ac:dyDescent="0.25">
      <c r="A1125">
        <v>2018</v>
      </c>
      <c r="B1125" t="s">
        <v>54</v>
      </c>
      <c r="C1125" t="s">
        <v>20</v>
      </c>
      <c r="D1125" s="1">
        <v>52459</v>
      </c>
      <c r="E1125" s="1">
        <v>786892</v>
      </c>
      <c r="F1125" s="2">
        <v>47200</v>
      </c>
    </row>
    <row r="1126" spans="1:6" x14ac:dyDescent="0.25">
      <c r="A1126">
        <v>2018</v>
      </c>
      <c r="B1126" t="s">
        <v>54</v>
      </c>
      <c r="C1126" t="s">
        <v>21</v>
      </c>
      <c r="D1126" s="1">
        <v>37272</v>
      </c>
      <c r="E1126" s="1">
        <v>531669</v>
      </c>
      <c r="F1126" s="2">
        <v>49570</v>
      </c>
    </row>
    <row r="1127" spans="1:6" x14ac:dyDescent="0.25">
      <c r="A1127">
        <v>2018</v>
      </c>
      <c r="B1127" t="s">
        <v>54</v>
      </c>
      <c r="C1127" t="s">
        <v>22</v>
      </c>
      <c r="D1127" s="1">
        <v>19763</v>
      </c>
      <c r="E1127" s="1">
        <v>229107</v>
      </c>
      <c r="F1127" s="2">
        <v>36497</v>
      </c>
    </row>
    <row r="1128" spans="1:6" x14ac:dyDescent="0.25">
      <c r="A1128">
        <v>2018</v>
      </c>
      <c r="B1128" t="s">
        <v>54</v>
      </c>
      <c r="C1128" t="s">
        <v>23</v>
      </c>
      <c r="D1128" s="1">
        <v>38808</v>
      </c>
      <c r="E1128" s="1">
        <v>537150</v>
      </c>
      <c r="F1128" s="2">
        <v>42469</v>
      </c>
    </row>
    <row r="1129" spans="1:6" x14ac:dyDescent="0.25">
      <c r="A1129">
        <v>2018</v>
      </c>
      <c r="B1129" t="s">
        <v>54</v>
      </c>
      <c r="C1129" t="s">
        <v>24</v>
      </c>
      <c r="D1129" s="1">
        <v>9250</v>
      </c>
      <c r="E1129" s="1">
        <v>91355</v>
      </c>
      <c r="F1129" s="2">
        <v>39170</v>
      </c>
    </row>
    <row r="1130" spans="1:6" x14ac:dyDescent="0.25">
      <c r="A1130">
        <v>2018</v>
      </c>
      <c r="B1130" t="s">
        <v>54</v>
      </c>
      <c r="C1130" t="s">
        <v>25</v>
      </c>
      <c r="D1130" s="1">
        <v>14923</v>
      </c>
      <c r="E1130" s="1">
        <v>189793</v>
      </c>
      <c r="F1130" s="2">
        <v>39891</v>
      </c>
    </row>
    <row r="1131" spans="1:6" x14ac:dyDescent="0.25">
      <c r="A1131">
        <v>2018</v>
      </c>
      <c r="B1131" t="s">
        <v>54</v>
      </c>
      <c r="C1131" t="s">
        <v>26</v>
      </c>
      <c r="D1131" s="1">
        <v>15829</v>
      </c>
      <c r="E1131" s="1">
        <v>254417</v>
      </c>
      <c r="F1131" s="2">
        <v>44190</v>
      </c>
    </row>
    <row r="1132" spans="1:6" x14ac:dyDescent="0.25">
      <c r="A1132">
        <v>2018</v>
      </c>
      <c r="B1132" t="s">
        <v>54</v>
      </c>
      <c r="C1132" t="s">
        <v>27</v>
      </c>
      <c r="D1132" s="1">
        <v>12509</v>
      </c>
      <c r="E1132" s="1">
        <v>139183</v>
      </c>
      <c r="F1132" s="2">
        <v>47777</v>
      </c>
    </row>
    <row r="1133" spans="1:6" x14ac:dyDescent="0.25">
      <c r="A1133">
        <v>2018</v>
      </c>
      <c r="B1133" t="s">
        <v>54</v>
      </c>
      <c r="C1133" t="s">
        <v>28</v>
      </c>
      <c r="D1133" s="1">
        <v>54238</v>
      </c>
      <c r="E1133" s="1">
        <v>876344</v>
      </c>
      <c r="F1133" s="2">
        <v>53723</v>
      </c>
    </row>
    <row r="1134" spans="1:6" x14ac:dyDescent="0.25">
      <c r="A1134">
        <v>2018</v>
      </c>
      <c r="B1134" t="s">
        <v>54</v>
      </c>
      <c r="C1134" t="s">
        <v>29</v>
      </c>
      <c r="D1134" s="1">
        <v>10758</v>
      </c>
      <c r="E1134" s="1">
        <v>135970</v>
      </c>
      <c r="F1134" s="2">
        <v>38078</v>
      </c>
    </row>
    <row r="1135" spans="1:6" x14ac:dyDescent="0.25">
      <c r="A1135">
        <v>2018</v>
      </c>
      <c r="B1135" t="s">
        <v>54</v>
      </c>
      <c r="C1135" t="s">
        <v>30</v>
      </c>
      <c r="D1135" s="1">
        <v>123741</v>
      </c>
      <c r="E1135" s="1">
        <v>1554768</v>
      </c>
      <c r="F1135" s="2">
        <v>51832</v>
      </c>
    </row>
    <row r="1136" spans="1:6" x14ac:dyDescent="0.25">
      <c r="A1136">
        <v>2018</v>
      </c>
      <c r="B1136" t="s">
        <v>54</v>
      </c>
      <c r="C1136" t="s">
        <v>31</v>
      </c>
      <c r="D1136" s="1">
        <v>61525</v>
      </c>
      <c r="E1136" s="1">
        <v>830550</v>
      </c>
      <c r="F1136" s="2">
        <v>43092</v>
      </c>
    </row>
    <row r="1137" spans="1:6" x14ac:dyDescent="0.25">
      <c r="A1137">
        <v>2018</v>
      </c>
      <c r="B1137" t="s">
        <v>54</v>
      </c>
      <c r="C1137" t="s">
        <v>32</v>
      </c>
      <c r="D1137" s="1">
        <v>7753</v>
      </c>
      <c r="E1137" s="1">
        <v>91635</v>
      </c>
      <c r="F1137" s="2">
        <v>49819</v>
      </c>
    </row>
    <row r="1138" spans="1:6" x14ac:dyDescent="0.25">
      <c r="A1138">
        <v>2018</v>
      </c>
      <c r="B1138" t="s">
        <v>54</v>
      </c>
      <c r="C1138" t="s">
        <v>33</v>
      </c>
      <c r="D1138" s="1">
        <v>68615</v>
      </c>
      <c r="E1138" s="1">
        <v>1017249</v>
      </c>
      <c r="F1138" s="2">
        <v>44247</v>
      </c>
    </row>
    <row r="1139" spans="1:6" x14ac:dyDescent="0.25">
      <c r="A1139">
        <v>2018</v>
      </c>
      <c r="B1139" t="s">
        <v>54</v>
      </c>
      <c r="C1139" t="s">
        <v>34</v>
      </c>
      <c r="D1139" s="1">
        <v>23748</v>
      </c>
      <c r="E1139" s="1">
        <v>297631</v>
      </c>
      <c r="F1139" s="2">
        <v>41554</v>
      </c>
    </row>
    <row r="1140" spans="1:6" x14ac:dyDescent="0.25">
      <c r="A1140">
        <v>2018</v>
      </c>
      <c r="B1140" t="s">
        <v>54</v>
      </c>
      <c r="C1140" t="s">
        <v>35</v>
      </c>
      <c r="D1140" s="1">
        <v>26503</v>
      </c>
      <c r="E1140" s="1">
        <v>349656</v>
      </c>
      <c r="F1140" s="2">
        <v>44347</v>
      </c>
    </row>
    <row r="1141" spans="1:6" x14ac:dyDescent="0.25">
      <c r="A1141">
        <v>2018</v>
      </c>
      <c r="B1141" t="s">
        <v>54</v>
      </c>
      <c r="C1141" t="s">
        <v>36</v>
      </c>
      <c r="D1141" s="1">
        <v>74845</v>
      </c>
      <c r="E1141" s="1">
        <v>1117054</v>
      </c>
      <c r="F1141" s="2">
        <v>45000</v>
      </c>
    </row>
    <row r="1142" spans="1:6" x14ac:dyDescent="0.25">
      <c r="A1142">
        <v>2018</v>
      </c>
      <c r="B1142" t="s">
        <v>54</v>
      </c>
      <c r="C1142" t="s">
        <v>37</v>
      </c>
      <c r="D1142" s="1">
        <v>7658</v>
      </c>
      <c r="E1142" s="1">
        <v>76762</v>
      </c>
      <c r="F1142" s="2">
        <v>43902</v>
      </c>
    </row>
    <row r="1143" spans="1:6" x14ac:dyDescent="0.25">
      <c r="A1143">
        <v>2018</v>
      </c>
      <c r="B1143" t="s">
        <v>54</v>
      </c>
      <c r="C1143" t="s">
        <v>38</v>
      </c>
      <c r="D1143" s="1">
        <v>30013</v>
      </c>
      <c r="E1143" s="1">
        <v>402308</v>
      </c>
      <c r="F1143" s="2">
        <v>39429</v>
      </c>
    </row>
    <row r="1144" spans="1:6" x14ac:dyDescent="0.25">
      <c r="A1144">
        <v>2018</v>
      </c>
      <c r="B1144" t="s">
        <v>54</v>
      </c>
      <c r="C1144" t="s">
        <v>39</v>
      </c>
      <c r="D1144" s="1">
        <v>8059</v>
      </c>
      <c r="E1144" s="1">
        <v>85734</v>
      </c>
      <c r="F1144" s="2">
        <v>39650</v>
      </c>
    </row>
    <row r="1145" spans="1:6" x14ac:dyDescent="0.25">
      <c r="A1145">
        <v>2018</v>
      </c>
      <c r="B1145" t="s">
        <v>54</v>
      </c>
      <c r="C1145" t="s">
        <v>40</v>
      </c>
      <c r="D1145" s="1">
        <v>40040</v>
      </c>
      <c r="E1145" s="1">
        <v>623566</v>
      </c>
      <c r="F1145" s="2">
        <v>46137</v>
      </c>
    </row>
    <row r="1146" spans="1:6" x14ac:dyDescent="0.25">
      <c r="A1146">
        <v>2018</v>
      </c>
      <c r="B1146" t="s">
        <v>54</v>
      </c>
      <c r="C1146" t="s">
        <v>41</v>
      </c>
      <c r="D1146" s="1">
        <v>147447</v>
      </c>
      <c r="E1146" s="1">
        <v>2465009</v>
      </c>
      <c r="F1146" s="2">
        <v>52337</v>
      </c>
    </row>
    <row r="1147" spans="1:6" x14ac:dyDescent="0.25">
      <c r="A1147">
        <v>2018</v>
      </c>
      <c r="B1147" t="s">
        <v>54</v>
      </c>
      <c r="C1147" t="s">
        <v>42</v>
      </c>
      <c r="D1147" s="1">
        <v>19531</v>
      </c>
      <c r="E1147" s="1">
        <v>284283</v>
      </c>
      <c r="F1147" s="2">
        <v>44163</v>
      </c>
    </row>
    <row r="1148" spans="1:6" x14ac:dyDescent="0.25">
      <c r="A1148">
        <v>2018</v>
      </c>
      <c r="B1148" t="s">
        <v>54</v>
      </c>
      <c r="C1148" t="s">
        <v>43</v>
      </c>
      <c r="D1148" s="1">
        <v>5084</v>
      </c>
      <c r="E1148" s="1">
        <v>54476</v>
      </c>
      <c r="F1148" s="2">
        <v>40351</v>
      </c>
    </row>
    <row r="1149" spans="1:6" x14ac:dyDescent="0.25">
      <c r="A1149">
        <v>2018</v>
      </c>
      <c r="B1149" t="s">
        <v>54</v>
      </c>
      <c r="C1149" t="s">
        <v>44</v>
      </c>
      <c r="D1149" s="1">
        <v>43180</v>
      </c>
      <c r="E1149" s="1">
        <v>650233</v>
      </c>
      <c r="F1149" s="2">
        <v>43886</v>
      </c>
    </row>
    <row r="1150" spans="1:6" x14ac:dyDescent="0.25">
      <c r="A1150">
        <v>2018</v>
      </c>
      <c r="B1150" t="s">
        <v>54</v>
      </c>
      <c r="C1150" t="s">
        <v>45</v>
      </c>
      <c r="D1150" s="1">
        <v>39324</v>
      </c>
      <c r="E1150" s="1">
        <v>621384</v>
      </c>
      <c r="F1150" s="2">
        <v>63994</v>
      </c>
    </row>
    <row r="1151" spans="1:6" x14ac:dyDescent="0.25">
      <c r="A1151">
        <v>2018</v>
      </c>
      <c r="B1151" t="s">
        <v>54</v>
      </c>
      <c r="C1151" t="s">
        <v>46</v>
      </c>
      <c r="D1151" s="1">
        <v>10925</v>
      </c>
      <c r="E1151" s="1">
        <v>128211</v>
      </c>
      <c r="F1151" s="2">
        <v>38698</v>
      </c>
    </row>
    <row r="1152" spans="1:6" x14ac:dyDescent="0.25">
      <c r="A1152">
        <v>2018</v>
      </c>
      <c r="B1152" t="s">
        <v>54</v>
      </c>
      <c r="C1152" t="s">
        <v>47</v>
      </c>
      <c r="D1152" s="1">
        <v>36496</v>
      </c>
      <c r="E1152" s="1">
        <v>541333</v>
      </c>
      <c r="F1152" s="2">
        <v>41512</v>
      </c>
    </row>
    <row r="1153" spans="1:6" x14ac:dyDescent="0.25">
      <c r="A1153">
        <v>2018</v>
      </c>
      <c r="B1153" t="s">
        <v>54</v>
      </c>
      <c r="C1153" t="s">
        <v>48</v>
      </c>
      <c r="D1153" s="1">
        <v>4830</v>
      </c>
      <c r="E1153" s="1">
        <v>49819</v>
      </c>
      <c r="F1153" s="2">
        <v>42737</v>
      </c>
    </row>
    <row r="1154" spans="1:6" x14ac:dyDescent="0.25">
      <c r="A1154">
        <v>2018</v>
      </c>
      <c r="B1154" t="s">
        <v>53</v>
      </c>
      <c r="C1154" t="s">
        <v>1</v>
      </c>
      <c r="D1154" s="1">
        <v>2168</v>
      </c>
      <c r="E1154" s="1">
        <v>21030</v>
      </c>
      <c r="F1154" s="2">
        <v>60025</v>
      </c>
    </row>
    <row r="1155" spans="1:6" x14ac:dyDescent="0.25">
      <c r="A1155">
        <v>2018</v>
      </c>
      <c r="B1155" t="s">
        <v>53</v>
      </c>
      <c r="C1155" t="s">
        <v>2</v>
      </c>
      <c r="D1155" s="1">
        <v>3113</v>
      </c>
      <c r="E1155" s="1">
        <v>47340</v>
      </c>
      <c r="F1155" s="2">
        <v>75499</v>
      </c>
    </row>
    <row r="1156" spans="1:6" x14ac:dyDescent="0.25">
      <c r="A1156">
        <v>2018</v>
      </c>
      <c r="B1156" t="s">
        <v>53</v>
      </c>
      <c r="C1156" t="s">
        <v>3</v>
      </c>
      <c r="D1156" s="1">
        <v>1210</v>
      </c>
      <c r="E1156" s="1">
        <v>10913</v>
      </c>
      <c r="F1156" s="2">
        <v>53828</v>
      </c>
    </row>
    <row r="1157" spans="1:6" x14ac:dyDescent="0.25">
      <c r="A1157">
        <v>2018</v>
      </c>
      <c r="B1157" t="s">
        <v>53</v>
      </c>
      <c r="C1157" t="s">
        <v>4</v>
      </c>
      <c r="D1157" s="1">
        <v>26592</v>
      </c>
      <c r="E1157" s="1">
        <v>525771</v>
      </c>
      <c r="F1157" s="2">
        <v>188173</v>
      </c>
    </row>
    <row r="1158" spans="1:6" x14ac:dyDescent="0.25">
      <c r="A1158">
        <v>2018</v>
      </c>
      <c r="B1158" t="s">
        <v>53</v>
      </c>
      <c r="C1158" t="s">
        <v>5</v>
      </c>
      <c r="D1158" s="1">
        <v>4173</v>
      </c>
      <c r="E1158" s="1">
        <v>75076</v>
      </c>
      <c r="F1158" s="2">
        <v>100735</v>
      </c>
    </row>
    <row r="1159" spans="1:6" x14ac:dyDescent="0.25">
      <c r="A1159">
        <v>2018</v>
      </c>
      <c r="B1159" t="s">
        <v>53</v>
      </c>
      <c r="C1159" t="s">
        <v>6</v>
      </c>
      <c r="D1159" s="1">
        <v>2306</v>
      </c>
      <c r="E1159" s="1">
        <v>31734</v>
      </c>
      <c r="F1159" s="2">
        <v>110642</v>
      </c>
    </row>
    <row r="1160" spans="1:6" x14ac:dyDescent="0.25">
      <c r="A1160">
        <v>2018</v>
      </c>
      <c r="B1160" t="s">
        <v>53</v>
      </c>
      <c r="C1160" t="s">
        <v>7</v>
      </c>
      <c r="D1160">
        <v>433</v>
      </c>
      <c r="E1160" s="1">
        <v>4065</v>
      </c>
      <c r="F1160" s="2">
        <v>65782</v>
      </c>
    </row>
    <row r="1161" spans="1:6" x14ac:dyDescent="0.25">
      <c r="A1161">
        <v>2018</v>
      </c>
      <c r="B1161" t="s">
        <v>53</v>
      </c>
      <c r="C1161" t="s">
        <v>8</v>
      </c>
      <c r="D1161" s="1">
        <v>11205</v>
      </c>
      <c r="E1161" s="1">
        <v>138995</v>
      </c>
      <c r="F1161" s="2">
        <v>81168</v>
      </c>
    </row>
    <row r="1162" spans="1:6" x14ac:dyDescent="0.25">
      <c r="A1162">
        <v>2018</v>
      </c>
      <c r="B1162" t="s">
        <v>53</v>
      </c>
      <c r="C1162" t="s">
        <v>9</v>
      </c>
      <c r="D1162" s="1">
        <v>5113</v>
      </c>
      <c r="E1162" s="1">
        <v>114231</v>
      </c>
      <c r="F1162" s="2">
        <v>96613</v>
      </c>
    </row>
    <row r="1163" spans="1:6" x14ac:dyDescent="0.25">
      <c r="A1163">
        <v>2018</v>
      </c>
      <c r="B1163" t="s">
        <v>53</v>
      </c>
      <c r="C1163" t="s">
        <v>10</v>
      </c>
      <c r="D1163" s="1">
        <v>1223</v>
      </c>
      <c r="E1163" s="1">
        <v>8798</v>
      </c>
      <c r="F1163" s="2">
        <v>52761</v>
      </c>
    </row>
    <row r="1164" spans="1:6" x14ac:dyDescent="0.25">
      <c r="A1164">
        <v>2018</v>
      </c>
      <c r="B1164" t="s">
        <v>53</v>
      </c>
      <c r="C1164" t="s">
        <v>11</v>
      </c>
      <c r="D1164" s="1">
        <v>6688</v>
      </c>
      <c r="E1164" s="1">
        <v>94330</v>
      </c>
      <c r="F1164" s="2">
        <v>91164</v>
      </c>
    </row>
    <row r="1165" spans="1:6" x14ac:dyDescent="0.25">
      <c r="A1165">
        <v>2018</v>
      </c>
      <c r="B1165" t="s">
        <v>53</v>
      </c>
      <c r="C1165" t="s">
        <v>12</v>
      </c>
      <c r="D1165" s="1">
        <v>2123</v>
      </c>
      <c r="E1165" s="1">
        <v>29375</v>
      </c>
      <c r="F1165" s="2">
        <v>60371</v>
      </c>
    </row>
    <row r="1166" spans="1:6" x14ac:dyDescent="0.25">
      <c r="A1166">
        <v>2018</v>
      </c>
      <c r="B1166" t="s">
        <v>53</v>
      </c>
      <c r="C1166" t="s">
        <v>13</v>
      </c>
      <c r="D1166" s="1">
        <v>1742</v>
      </c>
      <c r="E1166" s="1">
        <v>22018</v>
      </c>
      <c r="F1166" s="2">
        <v>58519</v>
      </c>
    </row>
    <row r="1167" spans="1:6" x14ac:dyDescent="0.25">
      <c r="A1167">
        <v>2018</v>
      </c>
      <c r="B1167" t="s">
        <v>53</v>
      </c>
      <c r="C1167" t="s">
        <v>14</v>
      </c>
      <c r="D1167" s="1">
        <v>1308</v>
      </c>
      <c r="E1167" s="1">
        <v>18664</v>
      </c>
      <c r="F1167" s="2">
        <v>63399</v>
      </c>
    </row>
    <row r="1168" spans="1:6" x14ac:dyDescent="0.25">
      <c r="A1168">
        <v>2018</v>
      </c>
      <c r="B1168" t="s">
        <v>53</v>
      </c>
      <c r="C1168" t="s">
        <v>15</v>
      </c>
      <c r="D1168" s="1">
        <v>1785</v>
      </c>
      <c r="E1168" s="1">
        <v>21989</v>
      </c>
      <c r="F1168" s="2">
        <v>54629</v>
      </c>
    </row>
    <row r="1169" spans="1:6" x14ac:dyDescent="0.25">
      <c r="A1169">
        <v>2018</v>
      </c>
      <c r="B1169" t="s">
        <v>53</v>
      </c>
      <c r="C1169" t="s">
        <v>16</v>
      </c>
      <c r="D1169" s="1">
        <v>1716</v>
      </c>
      <c r="E1169" s="1">
        <v>22869</v>
      </c>
      <c r="F1169" s="2">
        <v>58223</v>
      </c>
    </row>
    <row r="1170" spans="1:6" x14ac:dyDescent="0.25">
      <c r="A1170">
        <v>2018</v>
      </c>
      <c r="B1170" t="s">
        <v>53</v>
      </c>
      <c r="C1170" t="s">
        <v>17</v>
      </c>
      <c r="D1170">
        <v>849</v>
      </c>
      <c r="E1170" s="1">
        <v>7397</v>
      </c>
      <c r="F1170" s="2">
        <v>54502</v>
      </c>
    </row>
    <row r="1171" spans="1:6" x14ac:dyDescent="0.25">
      <c r="A1171">
        <v>2018</v>
      </c>
      <c r="B1171" t="s">
        <v>53</v>
      </c>
      <c r="C1171" t="s">
        <v>18</v>
      </c>
      <c r="D1171" s="1">
        <v>2737</v>
      </c>
      <c r="E1171" s="1">
        <v>36210</v>
      </c>
      <c r="F1171" s="2">
        <v>92844</v>
      </c>
    </row>
    <row r="1172" spans="1:6" x14ac:dyDescent="0.25">
      <c r="A1172">
        <v>2018</v>
      </c>
      <c r="B1172" t="s">
        <v>53</v>
      </c>
      <c r="C1172" t="s">
        <v>19</v>
      </c>
      <c r="D1172" s="1">
        <v>5379</v>
      </c>
      <c r="E1172" s="1">
        <v>91783</v>
      </c>
      <c r="F1172" s="2">
        <v>123118</v>
      </c>
    </row>
    <row r="1173" spans="1:6" x14ac:dyDescent="0.25">
      <c r="A1173">
        <v>2018</v>
      </c>
      <c r="B1173" t="s">
        <v>53</v>
      </c>
      <c r="C1173" t="s">
        <v>20</v>
      </c>
      <c r="D1173" s="1">
        <v>6287</v>
      </c>
      <c r="E1173" s="1">
        <v>56247</v>
      </c>
      <c r="F1173" s="2">
        <v>73556</v>
      </c>
    </row>
    <row r="1174" spans="1:6" x14ac:dyDescent="0.25">
      <c r="A1174">
        <v>2018</v>
      </c>
      <c r="B1174" t="s">
        <v>53</v>
      </c>
      <c r="C1174" t="s">
        <v>21</v>
      </c>
      <c r="D1174" s="1">
        <v>3977</v>
      </c>
      <c r="E1174" s="1">
        <v>49170</v>
      </c>
      <c r="F1174" s="2">
        <v>78903</v>
      </c>
    </row>
    <row r="1175" spans="1:6" x14ac:dyDescent="0.25">
      <c r="A1175">
        <v>2018</v>
      </c>
      <c r="B1175" t="s">
        <v>53</v>
      </c>
      <c r="C1175" t="s">
        <v>22</v>
      </c>
      <c r="D1175">
        <v>940</v>
      </c>
      <c r="E1175" s="1">
        <v>10980</v>
      </c>
      <c r="F1175" s="2">
        <v>49173</v>
      </c>
    </row>
    <row r="1176" spans="1:6" x14ac:dyDescent="0.25">
      <c r="A1176">
        <v>2018</v>
      </c>
      <c r="B1176" t="s">
        <v>53</v>
      </c>
      <c r="C1176" t="s">
        <v>23</v>
      </c>
      <c r="D1176" s="1">
        <v>3049</v>
      </c>
      <c r="E1176" s="1">
        <v>47666</v>
      </c>
      <c r="F1176" s="2">
        <v>81842</v>
      </c>
    </row>
    <row r="1177" spans="1:6" x14ac:dyDescent="0.25">
      <c r="A1177">
        <v>2018</v>
      </c>
      <c r="B1177" t="s">
        <v>53</v>
      </c>
      <c r="C1177" t="s">
        <v>24</v>
      </c>
      <c r="D1177">
        <v>801</v>
      </c>
      <c r="E1177" s="1">
        <v>6350</v>
      </c>
      <c r="F1177" s="2">
        <v>54475</v>
      </c>
    </row>
    <row r="1178" spans="1:6" x14ac:dyDescent="0.25">
      <c r="A1178">
        <v>2018</v>
      </c>
      <c r="B1178" t="s">
        <v>53</v>
      </c>
      <c r="C1178" t="s">
        <v>25</v>
      </c>
      <c r="D1178">
        <v>973</v>
      </c>
      <c r="E1178" s="1">
        <v>17653</v>
      </c>
      <c r="F1178" s="2">
        <v>64407</v>
      </c>
    </row>
    <row r="1179" spans="1:6" x14ac:dyDescent="0.25">
      <c r="A1179">
        <v>2018</v>
      </c>
      <c r="B1179" t="s">
        <v>53</v>
      </c>
      <c r="C1179" t="s">
        <v>26</v>
      </c>
      <c r="D1179" s="1">
        <v>1541</v>
      </c>
      <c r="E1179" s="1">
        <v>15646</v>
      </c>
      <c r="F1179" s="2">
        <v>70292</v>
      </c>
    </row>
    <row r="1180" spans="1:6" x14ac:dyDescent="0.25">
      <c r="A1180">
        <v>2018</v>
      </c>
      <c r="B1180" t="s">
        <v>53</v>
      </c>
      <c r="C1180" t="s">
        <v>27</v>
      </c>
      <c r="D1180">
        <v>892</v>
      </c>
      <c r="E1180" s="1">
        <v>12351</v>
      </c>
      <c r="F1180" s="2">
        <v>93599</v>
      </c>
    </row>
    <row r="1181" spans="1:6" x14ac:dyDescent="0.25">
      <c r="A1181">
        <v>2018</v>
      </c>
      <c r="B1181" t="s">
        <v>53</v>
      </c>
      <c r="C1181" t="s">
        <v>28</v>
      </c>
      <c r="D1181" s="1">
        <v>3722</v>
      </c>
      <c r="E1181" s="1">
        <v>69519</v>
      </c>
      <c r="F1181" s="2">
        <v>114630</v>
      </c>
    </row>
    <row r="1182" spans="1:6" x14ac:dyDescent="0.25">
      <c r="A1182">
        <v>2018</v>
      </c>
      <c r="B1182" t="s">
        <v>53</v>
      </c>
      <c r="C1182" t="s">
        <v>29</v>
      </c>
      <c r="D1182">
        <v>987</v>
      </c>
      <c r="E1182" s="1">
        <v>12015</v>
      </c>
      <c r="F1182" s="2">
        <v>53204</v>
      </c>
    </row>
    <row r="1183" spans="1:6" x14ac:dyDescent="0.25">
      <c r="A1183">
        <v>2018</v>
      </c>
      <c r="B1183" t="s">
        <v>53</v>
      </c>
      <c r="C1183" t="s">
        <v>30</v>
      </c>
      <c r="D1183" s="1">
        <v>12672</v>
      </c>
      <c r="E1183" s="1">
        <v>275598</v>
      </c>
      <c r="F1183" s="2">
        <v>129853</v>
      </c>
    </row>
    <row r="1184" spans="1:6" x14ac:dyDescent="0.25">
      <c r="A1184">
        <v>2018</v>
      </c>
      <c r="B1184" t="s">
        <v>53</v>
      </c>
      <c r="C1184" t="s">
        <v>31</v>
      </c>
      <c r="D1184" s="1">
        <v>5238</v>
      </c>
      <c r="E1184" s="1">
        <v>79945</v>
      </c>
      <c r="F1184" s="2">
        <v>83920</v>
      </c>
    </row>
    <row r="1185" spans="1:6" x14ac:dyDescent="0.25">
      <c r="A1185">
        <v>2018</v>
      </c>
      <c r="B1185" t="s">
        <v>53</v>
      </c>
      <c r="C1185" t="s">
        <v>32</v>
      </c>
      <c r="D1185">
        <v>395</v>
      </c>
      <c r="E1185" s="1">
        <v>6221</v>
      </c>
      <c r="F1185" s="2">
        <v>70208</v>
      </c>
    </row>
    <row r="1186" spans="1:6" x14ac:dyDescent="0.25">
      <c r="A1186">
        <v>2018</v>
      </c>
      <c r="B1186" t="s">
        <v>53</v>
      </c>
      <c r="C1186" t="s">
        <v>33</v>
      </c>
      <c r="D1186" s="1">
        <v>4616</v>
      </c>
      <c r="E1186" s="1">
        <v>70930</v>
      </c>
      <c r="F1186" s="2">
        <v>70006</v>
      </c>
    </row>
    <row r="1187" spans="1:6" x14ac:dyDescent="0.25">
      <c r="A1187">
        <v>2018</v>
      </c>
      <c r="B1187" t="s">
        <v>53</v>
      </c>
      <c r="C1187" t="s">
        <v>34</v>
      </c>
      <c r="D1187" s="1">
        <v>1469</v>
      </c>
      <c r="E1187" s="1">
        <v>19859</v>
      </c>
      <c r="F1187" s="2">
        <v>58997</v>
      </c>
    </row>
    <row r="1188" spans="1:6" x14ac:dyDescent="0.25">
      <c r="A1188">
        <v>2018</v>
      </c>
      <c r="B1188" t="s">
        <v>53</v>
      </c>
      <c r="C1188" t="s">
        <v>35</v>
      </c>
      <c r="D1188" s="1">
        <v>3768</v>
      </c>
      <c r="E1188" s="1">
        <v>34277</v>
      </c>
      <c r="F1188" s="2">
        <v>87733</v>
      </c>
    </row>
    <row r="1189" spans="1:6" x14ac:dyDescent="0.25">
      <c r="A1189">
        <v>2018</v>
      </c>
      <c r="B1189" t="s">
        <v>53</v>
      </c>
      <c r="C1189" t="s">
        <v>36</v>
      </c>
      <c r="D1189" s="1">
        <v>4896</v>
      </c>
      <c r="E1189" s="1">
        <v>85970</v>
      </c>
      <c r="F1189" s="2">
        <v>87091</v>
      </c>
    </row>
    <row r="1190" spans="1:6" x14ac:dyDescent="0.25">
      <c r="A1190">
        <v>2018</v>
      </c>
      <c r="B1190" t="s">
        <v>53</v>
      </c>
      <c r="C1190" t="s">
        <v>37</v>
      </c>
      <c r="D1190">
        <v>715</v>
      </c>
      <c r="E1190" s="1">
        <v>5930</v>
      </c>
      <c r="F1190" s="2">
        <v>74327</v>
      </c>
    </row>
    <row r="1191" spans="1:6" x14ac:dyDescent="0.25">
      <c r="A1191">
        <v>2018</v>
      </c>
      <c r="B1191" t="s">
        <v>53</v>
      </c>
      <c r="C1191" t="s">
        <v>38</v>
      </c>
      <c r="D1191" s="1">
        <v>2548</v>
      </c>
      <c r="E1191" s="1">
        <v>28067</v>
      </c>
      <c r="F1191" s="2">
        <v>61977</v>
      </c>
    </row>
    <row r="1192" spans="1:6" x14ac:dyDescent="0.25">
      <c r="A1192">
        <v>2018</v>
      </c>
      <c r="B1192" t="s">
        <v>53</v>
      </c>
      <c r="C1192" t="s">
        <v>39</v>
      </c>
      <c r="D1192">
        <v>561</v>
      </c>
      <c r="E1192" s="1">
        <v>5589</v>
      </c>
      <c r="F1192" s="2">
        <v>49334</v>
      </c>
    </row>
    <row r="1193" spans="1:6" x14ac:dyDescent="0.25">
      <c r="A1193">
        <v>2018</v>
      </c>
      <c r="B1193" t="s">
        <v>53</v>
      </c>
      <c r="C1193" t="s">
        <v>40</v>
      </c>
      <c r="D1193" s="1">
        <v>3519</v>
      </c>
      <c r="E1193" s="1">
        <v>44851</v>
      </c>
      <c r="F1193" s="2">
        <v>73821</v>
      </c>
    </row>
    <row r="1194" spans="1:6" x14ac:dyDescent="0.25">
      <c r="A1194">
        <v>2018</v>
      </c>
      <c r="B1194" t="s">
        <v>53</v>
      </c>
      <c r="C1194" t="s">
        <v>41</v>
      </c>
      <c r="D1194" s="1">
        <v>9828</v>
      </c>
      <c r="E1194" s="1">
        <v>203822</v>
      </c>
      <c r="F1194" s="2">
        <v>87085</v>
      </c>
    </row>
    <row r="1195" spans="1:6" x14ac:dyDescent="0.25">
      <c r="A1195">
        <v>2018</v>
      </c>
      <c r="B1195" t="s">
        <v>53</v>
      </c>
      <c r="C1195" t="s">
        <v>42</v>
      </c>
      <c r="D1195" s="1">
        <v>2489</v>
      </c>
      <c r="E1195" s="1">
        <v>36783</v>
      </c>
      <c r="F1195" s="2">
        <v>78404</v>
      </c>
    </row>
    <row r="1196" spans="1:6" x14ac:dyDescent="0.25">
      <c r="A1196">
        <v>2018</v>
      </c>
      <c r="B1196" t="s">
        <v>53</v>
      </c>
      <c r="C1196" t="s">
        <v>43</v>
      </c>
      <c r="D1196">
        <v>505</v>
      </c>
      <c r="E1196" s="1">
        <v>4280</v>
      </c>
      <c r="F1196" s="2">
        <v>59800</v>
      </c>
    </row>
    <row r="1197" spans="1:6" x14ac:dyDescent="0.25">
      <c r="A1197">
        <v>2018</v>
      </c>
      <c r="B1197" t="s">
        <v>53</v>
      </c>
      <c r="C1197" t="s">
        <v>44</v>
      </c>
      <c r="D1197" s="1">
        <v>4379</v>
      </c>
      <c r="E1197" s="1">
        <v>66998</v>
      </c>
      <c r="F1197" s="2">
        <v>100731</v>
      </c>
    </row>
    <row r="1198" spans="1:6" x14ac:dyDescent="0.25">
      <c r="A1198">
        <v>2018</v>
      </c>
      <c r="B1198" t="s">
        <v>53</v>
      </c>
      <c r="C1198" t="s">
        <v>45</v>
      </c>
      <c r="D1198" s="1">
        <v>4629</v>
      </c>
      <c r="E1198" s="1">
        <v>133126</v>
      </c>
      <c r="F1198" s="2">
        <v>194631</v>
      </c>
    </row>
    <row r="1199" spans="1:6" x14ac:dyDescent="0.25">
      <c r="A1199">
        <v>2018</v>
      </c>
      <c r="B1199" t="s">
        <v>53</v>
      </c>
      <c r="C1199" t="s">
        <v>46</v>
      </c>
      <c r="D1199">
        <v>789</v>
      </c>
      <c r="E1199" s="1">
        <v>8288</v>
      </c>
      <c r="F1199" s="2">
        <v>52508</v>
      </c>
    </row>
    <row r="1200" spans="1:6" x14ac:dyDescent="0.25">
      <c r="A1200">
        <v>2018</v>
      </c>
      <c r="B1200" t="s">
        <v>53</v>
      </c>
      <c r="C1200" t="s">
        <v>47</v>
      </c>
      <c r="D1200" s="1">
        <v>2298</v>
      </c>
      <c r="E1200" s="1">
        <v>47152</v>
      </c>
      <c r="F1200" s="2">
        <v>75414</v>
      </c>
    </row>
    <row r="1201" spans="1:6" x14ac:dyDescent="0.25">
      <c r="A1201">
        <v>2018</v>
      </c>
      <c r="B1201" t="s">
        <v>53</v>
      </c>
      <c r="C1201" t="s">
        <v>48</v>
      </c>
      <c r="D1201">
        <v>398</v>
      </c>
      <c r="E1201" s="1">
        <v>3554</v>
      </c>
      <c r="F1201" s="2">
        <v>47401</v>
      </c>
    </row>
    <row r="1202" spans="1:6" x14ac:dyDescent="0.25">
      <c r="A1202">
        <v>2018</v>
      </c>
      <c r="B1202" t="s">
        <v>56</v>
      </c>
      <c r="C1202" t="s">
        <v>1</v>
      </c>
      <c r="D1202" s="1">
        <v>13364</v>
      </c>
      <c r="E1202" s="1">
        <v>94561</v>
      </c>
      <c r="F1202" s="2">
        <v>69240</v>
      </c>
    </row>
    <row r="1203" spans="1:6" x14ac:dyDescent="0.25">
      <c r="A1203">
        <v>2018</v>
      </c>
      <c r="B1203" t="s">
        <v>56</v>
      </c>
      <c r="C1203" t="s">
        <v>2</v>
      </c>
      <c r="D1203" s="1">
        <v>17978</v>
      </c>
      <c r="E1203" s="1">
        <v>214637</v>
      </c>
      <c r="F1203" s="2">
        <v>70877</v>
      </c>
    </row>
    <row r="1204" spans="1:6" x14ac:dyDescent="0.25">
      <c r="A1204">
        <v>2018</v>
      </c>
      <c r="B1204" t="s">
        <v>56</v>
      </c>
      <c r="C1204" t="s">
        <v>3</v>
      </c>
      <c r="D1204" s="1">
        <v>8418</v>
      </c>
      <c r="E1204" s="1">
        <v>50647</v>
      </c>
      <c r="F1204" s="2">
        <v>58119</v>
      </c>
    </row>
    <row r="1205" spans="1:6" x14ac:dyDescent="0.25">
      <c r="A1205">
        <v>2018</v>
      </c>
      <c r="B1205" t="s">
        <v>56</v>
      </c>
      <c r="C1205" t="s">
        <v>4</v>
      </c>
      <c r="D1205" s="1">
        <v>106953</v>
      </c>
      <c r="E1205" s="1">
        <v>835896</v>
      </c>
      <c r="F1205" s="2">
        <v>107228</v>
      </c>
    </row>
    <row r="1206" spans="1:6" x14ac:dyDescent="0.25">
      <c r="A1206">
        <v>2018</v>
      </c>
      <c r="B1206" t="s">
        <v>56</v>
      </c>
      <c r="C1206" t="s">
        <v>5</v>
      </c>
      <c r="D1206" s="1">
        <v>23326</v>
      </c>
      <c r="E1206" s="1">
        <v>164801</v>
      </c>
      <c r="F1206" s="2">
        <v>84615</v>
      </c>
    </row>
    <row r="1207" spans="1:6" x14ac:dyDescent="0.25">
      <c r="A1207">
        <v>2018</v>
      </c>
      <c r="B1207" t="s">
        <v>56</v>
      </c>
      <c r="C1207" t="s">
        <v>6</v>
      </c>
      <c r="D1207" s="1">
        <v>10879</v>
      </c>
      <c r="E1207" s="1">
        <v>123655</v>
      </c>
      <c r="F1207" s="2">
        <v>155433</v>
      </c>
    </row>
    <row r="1208" spans="1:6" x14ac:dyDescent="0.25">
      <c r="A1208">
        <v>2018</v>
      </c>
      <c r="B1208" t="s">
        <v>56</v>
      </c>
      <c r="C1208" t="s">
        <v>7</v>
      </c>
      <c r="D1208" s="1">
        <v>2859</v>
      </c>
      <c r="E1208" s="1">
        <v>47609</v>
      </c>
      <c r="F1208" s="2">
        <v>95574</v>
      </c>
    </row>
    <row r="1209" spans="1:6" x14ac:dyDescent="0.25">
      <c r="A1209">
        <v>2018</v>
      </c>
      <c r="B1209" t="s">
        <v>56</v>
      </c>
      <c r="C1209" t="s">
        <v>8</v>
      </c>
      <c r="D1209" s="1">
        <v>73412</v>
      </c>
      <c r="E1209" s="1">
        <v>570645</v>
      </c>
      <c r="F1209" s="2">
        <v>75337</v>
      </c>
    </row>
    <row r="1210" spans="1:6" x14ac:dyDescent="0.25">
      <c r="A1210">
        <v>2018</v>
      </c>
      <c r="B1210" t="s">
        <v>56</v>
      </c>
      <c r="C1210" t="s">
        <v>9</v>
      </c>
      <c r="D1210" s="1">
        <v>26225</v>
      </c>
      <c r="E1210" s="1">
        <v>237900</v>
      </c>
      <c r="F1210" s="2">
        <v>84587</v>
      </c>
    </row>
    <row r="1211" spans="1:6" x14ac:dyDescent="0.25">
      <c r="A1211">
        <v>2018</v>
      </c>
      <c r="B1211" t="s">
        <v>56</v>
      </c>
      <c r="C1211" t="s">
        <v>10</v>
      </c>
      <c r="D1211" s="1">
        <v>5824</v>
      </c>
      <c r="E1211" s="1">
        <v>32493</v>
      </c>
      <c r="F1211" s="2">
        <v>56024</v>
      </c>
    </row>
    <row r="1212" spans="1:6" x14ac:dyDescent="0.25">
      <c r="A1212">
        <v>2018</v>
      </c>
      <c r="B1212" t="s">
        <v>56</v>
      </c>
      <c r="C1212" t="s">
        <v>11</v>
      </c>
      <c r="D1212" s="1">
        <v>32448</v>
      </c>
      <c r="E1212" s="1">
        <v>373685</v>
      </c>
      <c r="F1212" s="2">
        <v>109598</v>
      </c>
    </row>
    <row r="1213" spans="1:6" x14ac:dyDescent="0.25">
      <c r="A1213">
        <v>2018</v>
      </c>
      <c r="B1213" t="s">
        <v>56</v>
      </c>
      <c r="C1213" t="s">
        <v>12</v>
      </c>
      <c r="D1213" s="1">
        <v>16542</v>
      </c>
      <c r="E1213" s="1">
        <v>133603</v>
      </c>
      <c r="F1213" s="2">
        <v>65167</v>
      </c>
    </row>
    <row r="1214" spans="1:6" x14ac:dyDescent="0.25">
      <c r="A1214">
        <v>2018</v>
      </c>
      <c r="B1214" t="s">
        <v>56</v>
      </c>
      <c r="C1214" t="s">
        <v>13</v>
      </c>
      <c r="D1214" s="1">
        <v>10213</v>
      </c>
      <c r="E1214" s="1">
        <v>109030</v>
      </c>
      <c r="F1214" s="2">
        <v>73894</v>
      </c>
    </row>
    <row r="1215" spans="1:6" x14ac:dyDescent="0.25">
      <c r="A1215">
        <v>2018</v>
      </c>
      <c r="B1215" t="s">
        <v>56</v>
      </c>
      <c r="C1215" t="s">
        <v>14</v>
      </c>
      <c r="D1215" s="1">
        <v>8870</v>
      </c>
      <c r="E1215" s="1">
        <v>73500</v>
      </c>
      <c r="F1215" s="2">
        <v>67710</v>
      </c>
    </row>
    <row r="1216" spans="1:6" x14ac:dyDescent="0.25">
      <c r="A1216">
        <v>2018</v>
      </c>
      <c r="B1216" t="s">
        <v>56</v>
      </c>
      <c r="C1216" t="s">
        <v>15</v>
      </c>
      <c r="D1216" s="1">
        <v>11035</v>
      </c>
      <c r="E1216" s="1">
        <v>92881</v>
      </c>
      <c r="F1216" s="2">
        <v>67733</v>
      </c>
    </row>
    <row r="1217" spans="1:6" x14ac:dyDescent="0.25">
      <c r="A1217">
        <v>2018</v>
      </c>
      <c r="B1217" t="s">
        <v>56</v>
      </c>
      <c r="C1217" t="s">
        <v>16</v>
      </c>
      <c r="D1217" s="1">
        <v>13754</v>
      </c>
      <c r="E1217" s="1">
        <v>85071</v>
      </c>
      <c r="F1217" s="2">
        <v>62731</v>
      </c>
    </row>
    <row r="1218" spans="1:6" x14ac:dyDescent="0.25">
      <c r="A1218">
        <v>2018</v>
      </c>
      <c r="B1218" t="s">
        <v>56</v>
      </c>
      <c r="C1218" t="s">
        <v>17</v>
      </c>
      <c r="D1218" s="1">
        <v>3804</v>
      </c>
      <c r="E1218" s="1">
        <v>29811</v>
      </c>
      <c r="F1218" s="2">
        <v>68174</v>
      </c>
    </row>
    <row r="1219" spans="1:6" x14ac:dyDescent="0.25">
      <c r="A1219">
        <v>2018</v>
      </c>
      <c r="B1219" t="s">
        <v>56</v>
      </c>
      <c r="C1219" t="s">
        <v>18</v>
      </c>
      <c r="D1219" s="1">
        <v>15277</v>
      </c>
      <c r="E1219" s="1">
        <v>138261</v>
      </c>
      <c r="F1219" s="2">
        <v>94201</v>
      </c>
    </row>
    <row r="1220" spans="1:6" x14ac:dyDescent="0.25">
      <c r="A1220">
        <v>2018</v>
      </c>
      <c r="B1220" t="s">
        <v>56</v>
      </c>
      <c r="C1220" t="s">
        <v>19</v>
      </c>
      <c r="D1220" s="1">
        <v>17504</v>
      </c>
      <c r="E1220" s="1">
        <v>217151</v>
      </c>
      <c r="F1220" s="2">
        <v>144514</v>
      </c>
    </row>
    <row r="1221" spans="1:6" x14ac:dyDescent="0.25">
      <c r="A1221">
        <v>2018</v>
      </c>
      <c r="B1221" t="s">
        <v>56</v>
      </c>
      <c r="C1221" t="s">
        <v>20</v>
      </c>
      <c r="D1221" s="1">
        <v>19082</v>
      </c>
      <c r="E1221" s="1">
        <v>203261</v>
      </c>
      <c r="F1221" s="2">
        <v>71568</v>
      </c>
    </row>
    <row r="1222" spans="1:6" x14ac:dyDescent="0.25">
      <c r="A1222">
        <v>2018</v>
      </c>
      <c r="B1222" t="s">
        <v>56</v>
      </c>
      <c r="C1222" t="s">
        <v>21</v>
      </c>
      <c r="D1222" s="1">
        <v>15877</v>
      </c>
      <c r="E1222" s="1">
        <v>178309</v>
      </c>
      <c r="F1222" s="2">
        <v>95604</v>
      </c>
    </row>
    <row r="1223" spans="1:6" x14ac:dyDescent="0.25">
      <c r="A1223">
        <v>2018</v>
      </c>
      <c r="B1223" t="s">
        <v>56</v>
      </c>
      <c r="C1223" t="s">
        <v>22</v>
      </c>
      <c r="D1223" s="1">
        <v>7959</v>
      </c>
      <c r="E1223" s="1">
        <v>42911</v>
      </c>
      <c r="F1223" s="2">
        <v>53281</v>
      </c>
    </row>
    <row r="1224" spans="1:6" x14ac:dyDescent="0.25">
      <c r="A1224">
        <v>2018</v>
      </c>
      <c r="B1224" t="s">
        <v>56</v>
      </c>
      <c r="C1224" t="s">
        <v>23</v>
      </c>
      <c r="D1224" s="1">
        <v>17251</v>
      </c>
      <c r="E1224" s="1">
        <v>162755</v>
      </c>
      <c r="F1224" s="2">
        <v>72947</v>
      </c>
    </row>
    <row r="1225" spans="1:6" x14ac:dyDescent="0.25">
      <c r="A1225">
        <v>2018</v>
      </c>
      <c r="B1225" t="s">
        <v>56</v>
      </c>
      <c r="C1225" t="s">
        <v>24</v>
      </c>
      <c r="D1225" s="1">
        <v>4297</v>
      </c>
      <c r="E1225" s="1">
        <v>21204</v>
      </c>
      <c r="F1225" s="2">
        <v>59315</v>
      </c>
    </row>
    <row r="1226" spans="1:6" x14ac:dyDescent="0.25">
      <c r="A1226">
        <v>2018</v>
      </c>
      <c r="B1226" t="s">
        <v>56</v>
      </c>
      <c r="C1226" t="s">
        <v>25</v>
      </c>
      <c r="D1226" s="1">
        <v>6683</v>
      </c>
      <c r="E1226" s="1">
        <v>66245</v>
      </c>
      <c r="F1226" s="2">
        <v>66817</v>
      </c>
    </row>
    <row r="1227" spans="1:6" x14ac:dyDescent="0.25">
      <c r="A1227">
        <v>2018</v>
      </c>
      <c r="B1227" t="s">
        <v>56</v>
      </c>
      <c r="C1227" t="s">
        <v>26</v>
      </c>
      <c r="D1227" s="1">
        <v>9082</v>
      </c>
      <c r="E1227" s="1">
        <v>63303</v>
      </c>
      <c r="F1227" s="2">
        <v>66612</v>
      </c>
    </row>
    <row r="1228" spans="1:6" x14ac:dyDescent="0.25">
      <c r="A1228">
        <v>2018</v>
      </c>
      <c r="B1228" t="s">
        <v>56</v>
      </c>
      <c r="C1228" t="s">
        <v>27</v>
      </c>
      <c r="D1228" s="1">
        <v>3838</v>
      </c>
      <c r="E1228" s="1">
        <v>33486</v>
      </c>
      <c r="F1228" s="2">
        <v>94889</v>
      </c>
    </row>
    <row r="1229" spans="1:6" x14ac:dyDescent="0.25">
      <c r="A1229">
        <v>2018</v>
      </c>
      <c r="B1229" t="s">
        <v>56</v>
      </c>
      <c r="C1229" t="s">
        <v>28</v>
      </c>
      <c r="D1229" s="1">
        <v>19963</v>
      </c>
      <c r="E1229" s="1">
        <v>242994</v>
      </c>
      <c r="F1229" s="2">
        <v>115066</v>
      </c>
    </row>
    <row r="1230" spans="1:6" x14ac:dyDescent="0.25">
      <c r="A1230">
        <v>2018</v>
      </c>
      <c r="B1230" t="s">
        <v>56</v>
      </c>
      <c r="C1230" t="s">
        <v>29</v>
      </c>
      <c r="D1230" s="1">
        <v>5293</v>
      </c>
      <c r="E1230" s="1">
        <v>32955</v>
      </c>
      <c r="F1230" s="2">
        <v>56048</v>
      </c>
    </row>
    <row r="1231" spans="1:6" x14ac:dyDescent="0.25">
      <c r="A1231">
        <v>2018</v>
      </c>
      <c r="B1231" t="s">
        <v>56</v>
      </c>
      <c r="C1231" t="s">
        <v>30</v>
      </c>
      <c r="D1231" s="1">
        <v>64317</v>
      </c>
      <c r="E1231" s="1">
        <v>714540</v>
      </c>
      <c r="F1231" s="2">
        <v>186871</v>
      </c>
    </row>
    <row r="1232" spans="1:6" x14ac:dyDescent="0.25">
      <c r="A1232">
        <v>2018</v>
      </c>
      <c r="B1232" t="s">
        <v>56</v>
      </c>
      <c r="C1232" t="s">
        <v>31</v>
      </c>
      <c r="D1232" s="1">
        <v>27776</v>
      </c>
      <c r="E1232" s="1">
        <v>233277</v>
      </c>
      <c r="F1232" s="2">
        <v>87311</v>
      </c>
    </row>
    <row r="1233" spans="1:6" x14ac:dyDescent="0.25">
      <c r="A1233">
        <v>2018</v>
      </c>
      <c r="B1233" t="s">
        <v>56</v>
      </c>
      <c r="C1233" t="s">
        <v>32</v>
      </c>
      <c r="D1233" s="1">
        <v>2995</v>
      </c>
      <c r="E1233" s="1">
        <v>23145</v>
      </c>
      <c r="F1233" s="2">
        <v>63251</v>
      </c>
    </row>
    <row r="1234" spans="1:6" x14ac:dyDescent="0.25">
      <c r="A1234">
        <v>2018</v>
      </c>
      <c r="B1234" t="s">
        <v>56</v>
      </c>
      <c r="C1234" t="s">
        <v>33</v>
      </c>
      <c r="D1234" s="1">
        <v>28783</v>
      </c>
      <c r="E1234" s="1">
        <v>293549</v>
      </c>
      <c r="F1234" s="2">
        <v>72736</v>
      </c>
    </row>
    <row r="1235" spans="1:6" x14ac:dyDescent="0.25">
      <c r="A1235">
        <v>2018</v>
      </c>
      <c r="B1235" t="s">
        <v>56</v>
      </c>
      <c r="C1235" t="s">
        <v>34</v>
      </c>
      <c r="D1235" s="1">
        <v>11458</v>
      </c>
      <c r="E1235" s="1">
        <v>77052</v>
      </c>
      <c r="F1235" s="2">
        <v>58044</v>
      </c>
    </row>
    <row r="1236" spans="1:6" x14ac:dyDescent="0.25">
      <c r="A1236">
        <v>2018</v>
      </c>
      <c r="B1236" t="s">
        <v>56</v>
      </c>
      <c r="C1236" t="s">
        <v>35</v>
      </c>
      <c r="D1236" s="1">
        <v>13030</v>
      </c>
      <c r="E1236" s="1">
        <v>84865</v>
      </c>
      <c r="F1236" s="2">
        <v>69649</v>
      </c>
    </row>
    <row r="1237" spans="1:6" x14ac:dyDescent="0.25">
      <c r="A1237">
        <v>2018</v>
      </c>
      <c r="B1237" t="s">
        <v>56</v>
      </c>
      <c r="C1237" t="s">
        <v>36</v>
      </c>
      <c r="D1237" s="1">
        <v>28823</v>
      </c>
      <c r="E1237" s="1">
        <v>325130</v>
      </c>
      <c r="F1237" s="2">
        <v>88831</v>
      </c>
    </row>
    <row r="1238" spans="1:6" x14ac:dyDescent="0.25">
      <c r="A1238">
        <v>2018</v>
      </c>
      <c r="B1238" t="s">
        <v>56</v>
      </c>
      <c r="C1238" t="s">
        <v>37</v>
      </c>
      <c r="D1238" s="1">
        <v>2869</v>
      </c>
      <c r="E1238" s="1">
        <v>32305</v>
      </c>
      <c r="F1238" s="2">
        <v>88061</v>
      </c>
    </row>
    <row r="1239" spans="1:6" x14ac:dyDescent="0.25">
      <c r="A1239">
        <v>2018</v>
      </c>
      <c r="B1239" t="s">
        <v>56</v>
      </c>
      <c r="C1239" t="s">
        <v>38</v>
      </c>
      <c r="D1239" s="1">
        <v>13166</v>
      </c>
      <c r="E1239" s="1">
        <v>100794</v>
      </c>
      <c r="F1239" s="2">
        <v>61713</v>
      </c>
    </row>
    <row r="1240" spans="1:6" x14ac:dyDescent="0.25">
      <c r="A1240">
        <v>2018</v>
      </c>
      <c r="B1240" t="s">
        <v>56</v>
      </c>
      <c r="C1240" t="s">
        <v>39</v>
      </c>
      <c r="D1240" s="1">
        <v>3259</v>
      </c>
      <c r="E1240" s="1">
        <v>28739</v>
      </c>
      <c r="F1240" s="2">
        <v>60160</v>
      </c>
    </row>
    <row r="1241" spans="1:6" x14ac:dyDescent="0.25">
      <c r="A1241">
        <v>2018</v>
      </c>
      <c r="B1241" t="s">
        <v>56</v>
      </c>
      <c r="C1241" t="s">
        <v>40</v>
      </c>
      <c r="D1241" s="1">
        <v>15698</v>
      </c>
      <c r="E1241" s="1">
        <v>150833</v>
      </c>
      <c r="F1241" s="2">
        <v>76718</v>
      </c>
    </row>
    <row r="1242" spans="1:6" x14ac:dyDescent="0.25">
      <c r="A1242">
        <v>2018</v>
      </c>
      <c r="B1242" t="s">
        <v>56</v>
      </c>
      <c r="C1242" t="s">
        <v>41</v>
      </c>
      <c r="D1242" s="1">
        <v>73679</v>
      </c>
      <c r="E1242" s="1">
        <v>756318</v>
      </c>
      <c r="F1242" s="2">
        <v>83356</v>
      </c>
    </row>
    <row r="1243" spans="1:6" x14ac:dyDescent="0.25">
      <c r="A1243">
        <v>2018</v>
      </c>
      <c r="B1243" t="s">
        <v>56</v>
      </c>
      <c r="C1243" t="s">
        <v>42</v>
      </c>
      <c r="D1243" s="1">
        <v>11520</v>
      </c>
      <c r="E1243" s="1">
        <v>87530</v>
      </c>
      <c r="F1243" s="2">
        <v>67933</v>
      </c>
    </row>
    <row r="1244" spans="1:6" x14ac:dyDescent="0.25">
      <c r="A1244">
        <v>2018</v>
      </c>
      <c r="B1244" t="s">
        <v>56</v>
      </c>
      <c r="C1244" t="s">
        <v>43</v>
      </c>
      <c r="D1244" s="1">
        <v>1694</v>
      </c>
      <c r="E1244" s="1">
        <v>11814</v>
      </c>
      <c r="F1244" s="2">
        <v>72078</v>
      </c>
    </row>
    <row r="1245" spans="1:6" x14ac:dyDescent="0.25">
      <c r="A1245">
        <v>2018</v>
      </c>
      <c r="B1245" t="s">
        <v>56</v>
      </c>
      <c r="C1245" t="s">
        <v>44</v>
      </c>
      <c r="D1245" s="1">
        <v>21938</v>
      </c>
      <c r="E1245" s="1">
        <v>194731</v>
      </c>
      <c r="F1245" s="2">
        <v>85723</v>
      </c>
    </row>
    <row r="1246" spans="1:6" x14ac:dyDescent="0.25">
      <c r="A1246">
        <v>2018</v>
      </c>
      <c r="B1246" t="s">
        <v>56</v>
      </c>
      <c r="C1246" t="s">
        <v>45</v>
      </c>
      <c r="D1246" s="1">
        <v>17577</v>
      </c>
      <c r="E1246" s="1">
        <v>147871</v>
      </c>
      <c r="F1246" s="2">
        <v>80466</v>
      </c>
    </row>
    <row r="1247" spans="1:6" x14ac:dyDescent="0.25">
      <c r="A1247">
        <v>2018</v>
      </c>
      <c r="B1247" t="s">
        <v>56</v>
      </c>
      <c r="C1247" t="s">
        <v>46</v>
      </c>
      <c r="D1247" s="1">
        <v>4029</v>
      </c>
      <c r="E1247" s="1">
        <v>24510</v>
      </c>
      <c r="F1247" s="2">
        <v>53206</v>
      </c>
    </row>
    <row r="1248" spans="1:6" x14ac:dyDescent="0.25">
      <c r="A1248">
        <v>2018</v>
      </c>
      <c r="B1248" t="s">
        <v>56</v>
      </c>
      <c r="C1248" t="s">
        <v>47</v>
      </c>
      <c r="D1248" s="1">
        <v>13917</v>
      </c>
      <c r="E1248" s="1">
        <v>148837</v>
      </c>
      <c r="F1248" s="2">
        <v>71561</v>
      </c>
    </row>
    <row r="1249" spans="1:6" x14ac:dyDescent="0.25">
      <c r="A1249">
        <v>2018</v>
      </c>
      <c r="B1249" t="s">
        <v>56</v>
      </c>
      <c r="C1249" t="s">
        <v>48</v>
      </c>
      <c r="D1249" s="1">
        <v>2283</v>
      </c>
      <c r="E1249" s="1">
        <v>11124</v>
      </c>
      <c r="F1249" s="2">
        <v>57486</v>
      </c>
    </row>
    <row r="1250" spans="1:6" x14ac:dyDescent="0.25">
      <c r="A1250">
        <v>2018</v>
      </c>
      <c r="B1250" t="s">
        <v>57</v>
      </c>
      <c r="C1250" t="s">
        <v>1</v>
      </c>
      <c r="D1250" s="1">
        <v>21888</v>
      </c>
      <c r="E1250" s="1">
        <v>245234</v>
      </c>
      <c r="F1250" s="2">
        <v>55653</v>
      </c>
    </row>
    <row r="1251" spans="1:6" x14ac:dyDescent="0.25">
      <c r="A1251">
        <v>2018</v>
      </c>
      <c r="B1251" t="s">
        <v>57</v>
      </c>
      <c r="C1251" t="s">
        <v>2</v>
      </c>
      <c r="D1251" s="1">
        <v>35993</v>
      </c>
      <c r="E1251" s="1">
        <v>430516</v>
      </c>
      <c r="F1251" s="2">
        <v>56745</v>
      </c>
    </row>
    <row r="1252" spans="1:6" x14ac:dyDescent="0.25">
      <c r="A1252">
        <v>2018</v>
      </c>
      <c r="B1252" t="s">
        <v>57</v>
      </c>
      <c r="C1252" t="s">
        <v>3</v>
      </c>
      <c r="D1252" s="1">
        <v>14308</v>
      </c>
      <c r="E1252" s="1">
        <v>146700</v>
      </c>
      <c r="F1252" s="2">
        <v>60316</v>
      </c>
    </row>
    <row r="1253" spans="1:6" x14ac:dyDescent="0.25">
      <c r="A1253">
        <v>2018</v>
      </c>
      <c r="B1253" t="s">
        <v>57</v>
      </c>
      <c r="C1253" t="s">
        <v>4</v>
      </c>
      <c r="D1253" s="1">
        <v>208425</v>
      </c>
      <c r="E1253" s="1">
        <v>2667839</v>
      </c>
      <c r="F1253" s="2">
        <v>91070</v>
      </c>
    </row>
    <row r="1254" spans="1:6" x14ac:dyDescent="0.25">
      <c r="A1254">
        <v>2018</v>
      </c>
      <c r="B1254" t="s">
        <v>57</v>
      </c>
      <c r="C1254" t="s">
        <v>5</v>
      </c>
      <c r="D1254" s="1">
        <v>52525</v>
      </c>
      <c r="E1254" s="1">
        <v>423946</v>
      </c>
      <c r="F1254" s="2">
        <v>81401</v>
      </c>
    </row>
    <row r="1255" spans="1:6" x14ac:dyDescent="0.25">
      <c r="A1255">
        <v>2018</v>
      </c>
      <c r="B1255" t="s">
        <v>57</v>
      </c>
      <c r="C1255" t="s">
        <v>6</v>
      </c>
      <c r="D1255" s="1">
        <v>23279</v>
      </c>
      <c r="E1255" s="1">
        <v>221029</v>
      </c>
      <c r="F1255" s="2">
        <v>87958</v>
      </c>
    </row>
    <row r="1256" spans="1:6" x14ac:dyDescent="0.25">
      <c r="A1256">
        <v>2018</v>
      </c>
      <c r="B1256" t="s">
        <v>57</v>
      </c>
      <c r="C1256" t="s">
        <v>7</v>
      </c>
      <c r="D1256" s="1">
        <v>8956</v>
      </c>
      <c r="E1256" s="1">
        <v>63405</v>
      </c>
      <c r="F1256" s="2">
        <v>80066</v>
      </c>
    </row>
    <row r="1257" spans="1:6" x14ac:dyDescent="0.25">
      <c r="A1257">
        <v>2018</v>
      </c>
      <c r="B1257" t="s">
        <v>57</v>
      </c>
      <c r="C1257" t="s">
        <v>8</v>
      </c>
      <c r="D1257" s="1">
        <v>161890</v>
      </c>
      <c r="E1257" s="1">
        <v>1365136</v>
      </c>
      <c r="F1257" s="2">
        <v>60914</v>
      </c>
    </row>
    <row r="1258" spans="1:6" x14ac:dyDescent="0.25">
      <c r="A1258">
        <v>2018</v>
      </c>
      <c r="B1258" t="s">
        <v>57</v>
      </c>
      <c r="C1258" t="s">
        <v>9</v>
      </c>
      <c r="D1258" s="1">
        <v>54714</v>
      </c>
      <c r="E1258" s="1">
        <v>687321</v>
      </c>
      <c r="F1258" s="2">
        <v>66989</v>
      </c>
    </row>
    <row r="1259" spans="1:6" x14ac:dyDescent="0.25">
      <c r="A1259">
        <v>2018</v>
      </c>
      <c r="B1259" t="s">
        <v>57</v>
      </c>
      <c r="C1259" t="s">
        <v>10</v>
      </c>
      <c r="D1259" s="1">
        <v>11562</v>
      </c>
      <c r="E1259" s="1">
        <v>91631</v>
      </c>
      <c r="F1259" s="2">
        <v>51695</v>
      </c>
    </row>
    <row r="1260" spans="1:6" x14ac:dyDescent="0.25">
      <c r="A1260">
        <v>2018</v>
      </c>
      <c r="B1260" t="s">
        <v>57</v>
      </c>
      <c r="C1260" t="s">
        <v>11</v>
      </c>
      <c r="D1260" s="1">
        <v>74587</v>
      </c>
      <c r="E1260" s="1">
        <v>948766</v>
      </c>
      <c r="F1260" s="2">
        <v>76586</v>
      </c>
    </row>
    <row r="1261" spans="1:6" x14ac:dyDescent="0.25">
      <c r="A1261">
        <v>2018</v>
      </c>
      <c r="B1261" t="s">
        <v>57</v>
      </c>
      <c r="C1261" t="s">
        <v>12</v>
      </c>
      <c r="D1261" s="1">
        <v>29755</v>
      </c>
      <c r="E1261" s="1">
        <v>342835</v>
      </c>
      <c r="F1261" s="2">
        <v>52468</v>
      </c>
    </row>
    <row r="1262" spans="1:6" x14ac:dyDescent="0.25">
      <c r="A1262">
        <v>2018</v>
      </c>
      <c r="B1262" t="s">
        <v>57</v>
      </c>
      <c r="C1262" t="s">
        <v>13</v>
      </c>
      <c r="D1262" s="1">
        <v>15839</v>
      </c>
      <c r="E1262" s="1">
        <v>140535</v>
      </c>
      <c r="F1262" s="2">
        <v>54071</v>
      </c>
    </row>
    <row r="1263" spans="1:6" x14ac:dyDescent="0.25">
      <c r="A1263">
        <v>2018</v>
      </c>
      <c r="B1263" t="s">
        <v>57</v>
      </c>
      <c r="C1263" t="s">
        <v>14</v>
      </c>
      <c r="D1263" s="1">
        <v>16731</v>
      </c>
      <c r="E1263" s="1">
        <v>179413</v>
      </c>
      <c r="F1263" s="2">
        <v>61288</v>
      </c>
    </row>
    <row r="1264" spans="1:6" x14ac:dyDescent="0.25">
      <c r="A1264">
        <v>2018</v>
      </c>
      <c r="B1264" t="s">
        <v>57</v>
      </c>
      <c r="C1264" t="s">
        <v>15</v>
      </c>
      <c r="D1264" s="1">
        <v>20542</v>
      </c>
      <c r="E1264" s="1">
        <v>217081</v>
      </c>
      <c r="F1264" s="2">
        <v>50087</v>
      </c>
    </row>
    <row r="1265" spans="1:6" x14ac:dyDescent="0.25">
      <c r="A1265">
        <v>2018</v>
      </c>
      <c r="B1265" t="s">
        <v>57</v>
      </c>
      <c r="C1265" t="s">
        <v>16</v>
      </c>
      <c r="D1265" s="1">
        <v>24537</v>
      </c>
      <c r="E1265" s="1">
        <v>213171</v>
      </c>
      <c r="F1265" s="2">
        <v>56446</v>
      </c>
    </row>
    <row r="1266" spans="1:6" x14ac:dyDescent="0.25">
      <c r="A1266">
        <v>2018</v>
      </c>
      <c r="B1266" t="s">
        <v>57</v>
      </c>
      <c r="C1266" t="s">
        <v>17</v>
      </c>
      <c r="D1266" s="1">
        <v>9940</v>
      </c>
      <c r="E1266" s="1">
        <v>69285</v>
      </c>
      <c r="F1266" s="2">
        <v>57328</v>
      </c>
    </row>
    <row r="1267" spans="1:6" x14ac:dyDescent="0.25">
      <c r="A1267">
        <v>2018</v>
      </c>
      <c r="B1267" t="s">
        <v>57</v>
      </c>
      <c r="C1267" t="s">
        <v>18</v>
      </c>
      <c r="D1267" s="1">
        <v>42809</v>
      </c>
      <c r="E1267" s="1">
        <v>452753</v>
      </c>
      <c r="F1267" s="2">
        <v>79500</v>
      </c>
    </row>
    <row r="1268" spans="1:6" x14ac:dyDescent="0.25">
      <c r="A1268">
        <v>2018</v>
      </c>
      <c r="B1268" t="s">
        <v>57</v>
      </c>
      <c r="C1268" t="s">
        <v>19</v>
      </c>
      <c r="D1268" s="1">
        <v>47416</v>
      </c>
      <c r="E1268" s="1">
        <v>587518</v>
      </c>
      <c r="F1268" s="2">
        <v>107875</v>
      </c>
    </row>
    <row r="1269" spans="1:6" x14ac:dyDescent="0.25">
      <c r="A1269">
        <v>2018</v>
      </c>
      <c r="B1269" t="s">
        <v>57</v>
      </c>
      <c r="C1269" t="s">
        <v>20</v>
      </c>
      <c r="D1269" s="1">
        <v>42545</v>
      </c>
      <c r="E1269" s="1">
        <v>657930</v>
      </c>
      <c r="F1269" s="2">
        <v>69377</v>
      </c>
    </row>
    <row r="1270" spans="1:6" x14ac:dyDescent="0.25">
      <c r="A1270">
        <v>2018</v>
      </c>
      <c r="B1270" t="s">
        <v>57</v>
      </c>
      <c r="C1270" t="s">
        <v>21</v>
      </c>
      <c r="D1270" s="1">
        <v>32020</v>
      </c>
      <c r="E1270" s="1">
        <v>378493</v>
      </c>
      <c r="F1270" s="2">
        <v>82535</v>
      </c>
    </row>
    <row r="1271" spans="1:6" x14ac:dyDescent="0.25">
      <c r="A1271">
        <v>2018</v>
      </c>
      <c r="B1271" t="s">
        <v>57</v>
      </c>
      <c r="C1271" t="s">
        <v>22</v>
      </c>
      <c r="D1271" s="1">
        <v>12259</v>
      </c>
      <c r="E1271" s="1">
        <v>109842</v>
      </c>
      <c r="F1271" s="2">
        <v>42132</v>
      </c>
    </row>
    <row r="1272" spans="1:6" x14ac:dyDescent="0.25">
      <c r="A1272">
        <v>2018</v>
      </c>
      <c r="B1272" t="s">
        <v>57</v>
      </c>
      <c r="C1272" t="s">
        <v>23</v>
      </c>
      <c r="D1272" s="1">
        <v>32577</v>
      </c>
      <c r="E1272" s="1">
        <v>385727</v>
      </c>
      <c r="F1272" s="2">
        <v>66429</v>
      </c>
    </row>
    <row r="1273" spans="1:6" x14ac:dyDescent="0.25">
      <c r="A1273">
        <v>2018</v>
      </c>
      <c r="B1273" t="s">
        <v>57</v>
      </c>
      <c r="C1273" t="s">
        <v>24</v>
      </c>
      <c r="D1273" s="1">
        <v>9359</v>
      </c>
      <c r="E1273" s="1">
        <v>42410</v>
      </c>
      <c r="F1273" s="2">
        <v>52271</v>
      </c>
    </row>
    <row r="1274" spans="1:6" x14ac:dyDescent="0.25">
      <c r="A1274">
        <v>2018</v>
      </c>
      <c r="B1274" t="s">
        <v>57</v>
      </c>
      <c r="C1274" t="s">
        <v>25</v>
      </c>
      <c r="D1274" s="1">
        <v>11582</v>
      </c>
      <c r="E1274" s="1">
        <v>119167</v>
      </c>
      <c r="F1274" s="2">
        <v>58836</v>
      </c>
    </row>
    <row r="1275" spans="1:6" x14ac:dyDescent="0.25">
      <c r="A1275">
        <v>2018</v>
      </c>
      <c r="B1275" t="s">
        <v>57</v>
      </c>
      <c r="C1275" t="s">
        <v>26</v>
      </c>
      <c r="D1275" s="1">
        <v>19970</v>
      </c>
      <c r="E1275" s="1">
        <v>190736</v>
      </c>
      <c r="F1275" s="2">
        <v>61821</v>
      </c>
    </row>
    <row r="1276" spans="1:6" x14ac:dyDescent="0.25">
      <c r="A1276">
        <v>2018</v>
      </c>
      <c r="B1276" t="s">
        <v>57</v>
      </c>
      <c r="C1276" t="s">
        <v>27</v>
      </c>
      <c r="D1276" s="1">
        <v>12323</v>
      </c>
      <c r="E1276" s="1">
        <v>82831</v>
      </c>
      <c r="F1276" s="2">
        <v>77486</v>
      </c>
    </row>
    <row r="1277" spans="1:6" x14ac:dyDescent="0.25">
      <c r="A1277">
        <v>2018</v>
      </c>
      <c r="B1277" t="s">
        <v>57</v>
      </c>
      <c r="C1277" t="s">
        <v>28</v>
      </c>
      <c r="D1277" s="1">
        <v>51837</v>
      </c>
      <c r="E1277" s="1">
        <v>671419</v>
      </c>
      <c r="F1277" s="2">
        <v>90784</v>
      </c>
    </row>
    <row r="1278" spans="1:6" x14ac:dyDescent="0.25">
      <c r="A1278">
        <v>2018</v>
      </c>
      <c r="B1278" t="s">
        <v>57</v>
      </c>
      <c r="C1278" t="s">
        <v>29</v>
      </c>
      <c r="D1278" s="1">
        <v>10669</v>
      </c>
      <c r="E1278" s="1">
        <v>106930</v>
      </c>
      <c r="F1278" s="2">
        <v>61899</v>
      </c>
    </row>
    <row r="1279" spans="1:6" x14ac:dyDescent="0.25">
      <c r="A1279">
        <v>2018</v>
      </c>
      <c r="B1279" t="s">
        <v>57</v>
      </c>
      <c r="C1279" t="s">
        <v>30</v>
      </c>
      <c r="D1279" s="1">
        <v>112471</v>
      </c>
      <c r="E1279" s="1">
        <v>1339421</v>
      </c>
      <c r="F1279" s="2">
        <v>95057</v>
      </c>
    </row>
    <row r="1280" spans="1:6" x14ac:dyDescent="0.25">
      <c r="A1280">
        <v>2018</v>
      </c>
      <c r="B1280" t="s">
        <v>57</v>
      </c>
      <c r="C1280" t="s">
        <v>31</v>
      </c>
      <c r="D1280" s="1">
        <v>58892</v>
      </c>
      <c r="E1280" s="1">
        <v>635554</v>
      </c>
      <c r="F1280" s="2">
        <v>65609</v>
      </c>
    </row>
    <row r="1281" spans="1:6" x14ac:dyDescent="0.25">
      <c r="A1281">
        <v>2018</v>
      </c>
      <c r="B1281" t="s">
        <v>57</v>
      </c>
      <c r="C1281" t="s">
        <v>32</v>
      </c>
      <c r="D1281" s="1">
        <v>5130</v>
      </c>
      <c r="E1281" s="1">
        <v>34560</v>
      </c>
      <c r="F1281" s="2">
        <v>61774</v>
      </c>
    </row>
    <row r="1282" spans="1:6" x14ac:dyDescent="0.25">
      <c r="A1282">
        <v>2018</v>
      </c>
      <c r="B1282" t="s">
        <v>57</v>
      </c>
      <c r="C1282" t="s">
        <v>33</v>
      </c>
      <c r="D1282" s="1">
        <v>53280</v>
      </c>
      <c r="E1282" s="1">
        <v>729430</v>
      </c>
      <c r="F1282" s="2">
        <v>64006</v>
      </c>
    </row>
    <row r="1283" spans="1:6" x14ac:dyDescent="0.25">
      <c r="A1283">
        <v>2018</v>
      </c>
      <c r="B1283" t="s">
        <v>57</v>
      </c>
      <c r="C1283" t="s">
        <v>34</v>
      </c>
      <c r="D1283" s="1">
        <v>20594</v>
      </c>
      <c r="E1283" s="1">
        <v>191261</v>
      </c>
      <c r="F1283" s="2">
        <v>52227</v>
      </c>
    </row>
    <row r="1284" spans="1:6" x14ac:dyDescent="0.25">
      <c r="A1284">
        <v>2018</v>
      </c>
      <c r="B1284" t="s">
        <v>57</v>
      </c>
      <c r="C1284" t="s">
        <v>35</v>
      </c>
      <c r="D1284" s="1">
        <v>25462</v>
      </c>
      <c r="E1284" s="1">
        <v>248627</v>
      </c>
      <c r="F1284" s="2">
        <v>69806</v>
      </c>
    </row>
    <row r="1285" spans="1:6" x14ac:dyDescent="0.25">
      <c r="A1285">
        <v>2018</v>
      </c>
      <c r="B1285" t="s">
        <v>57</v>
      </c>
      <c r="C1285" t="s">
        <v>36</v>
      </c>
      <c r="D1285" s="1">
        <v>63415</v>
      </c>
      <c r="E1285" s="1">
        <v>806555</v>
      </c>
      <c r="F1285" s="2">
        <v>78092</v>
      </c>
    </row>
    <row r="1286" spans="1:6" x14ac:dyDescent="0.25">
      <c r="A1286">
        <v>2018</v>
      </c>
      <c r="B1286" t="s">
        <v>57</v>
      </c>
      <c r="C1286" t="s">
        <v>37</v>
      </c>
      <c r="D1286" s="1">
        <v>8651</v>
      </c>
      <c r="E1286" s="1">
        <v>68430</v>
      </c>
      <c r="F1286" s="2">
        <v>68957</v>
      </c>
    </row>
    <row r="1287" spans="1:6" x14ac:dyDescent="0.25">
      <c r="A1287">
        <v>2018</v>
      </c>
      <c r="B1287" t="s">
        <v>57</v>
      </c>
      <c r="C1287" t="s">
        <v>38</v>
      </c>
      <c r="D1287" s="1">
        <v>26993</v>
      </c>
      <c r="E1287" s="1">
        <v>293499</v>
      </c>
      <c r="F1287" s="2">
        <v>50391</v>
      </c>
    </row>
    <row r="1288" spans="1:6" x14ac:dyDescent="0.25">
      <c r="A1288">
        <v>2018</v>
      </c>
      <c r="B1288" t="s">
        <v>57</v>
      </c>
      <c r="C1288" t="s">
        <v>39</v>
      </c>
      <c r="D1288" s="1">
        <v>5205</v>
      </c>
      <c r="E1288" s="1">
        <v>32354</v>
      </c>
      <c r="F1288" s="2">
        <v>56384</v>
      </c>
    </row>
    <row r="1289" spans="1:6" x14ac:dyDescent="0.25">
      <c r="A1289">
        <v>2018</v>
      </c>
      <c r="B1289" t="s">
        <v>57</v>
      </c>
      <c r="C1289" t="s">
        <v>40</v>
      </c>
      <c r="D1289" s="1">
        <v>29519</v>
      </c>
      <c r="E1289" s="1">
        <v>417345</v>
      </c>
      <c r="F1289" s="2">
        <v>59851</v>
      </c>
    </row>
    <row r="1290" spans="1:6" x14ac:dyDescent="0.25">
      <c r="A1290">
        <v>2018</v>
      </c>
      <c r="B1290" t="s">
        <v>57</v>
      </c>
      <c r="C1290" t="s">
        <v>41</v>
      </c>
      <c r="D1290" s="1">
        <v>134025</v>
      </c>
      <c r="E1290" s="1">
        <v>1736415</v>
      </c>
      <c r="F1290" s="2">
        <v>74443</v>
      </c>
    </row>
    <row r="1291" spans="1:6" x14ac:dyDescent="0.25">
      <c r="A1291">
        <v>2018</v>
      </c>
      <c r="B1291" t="s">
        <v>57</v>
      </c>
      <c r="C1291" t="s">
        <v>42</v>
      </c>
      <c r="D1291" s="1">
        <v>23036</v>
      </c>
      <c r="E1291" s="1">
        <v>215564</v>
      </c>
      <c r="F1291" s="2">
        <v>59543</v>
      </c>
    </row>
    <row r="1292" spans="1:6" x14ac:dyDescent="0.25">
      <c r="A1292">
        <v>2018</v>
      </c>
      <c r="B1292" t="s">
        <v>57</v>
      </c>
      <c r="C1292" t="s">
        <v>43</v>
      </c>
      <c r="D1292" s="1">
        <v>5661</v>
      </c>
      <c r="E1292" s="1">
        <v>28976</v>
      </c>
      <c r="F1292" s="2">
        <v>64917</v>
      </c>
    </row>
    <row r="1293" spans="1:6" x14ac:dyDescent="0.25">
      <c r="A1293">
        <v>2018</v>
      </c>
      <c r="B1293" t="s">
        <v>57</v>
      </c>
      <c r="C1293" t="s">
        <v>44</v>
      </c>
      <c r="D1293" s="1">
        <v>58849</v>
      </c>
      <c r="E1293" s="1">
        <v>746452</v>
      </c>
      <c r="F1293" s="2">
        <v>87511</v>
      </c>
    </row>
    <row r="1294" spans="1:6" x14ac:dyDescent="0.25">
      <c r="A1294">
        <v>2018</v>
      </c>
      <c r="B1294" t="s">
        <v>57</v>
      </c>
      <c r="C1294" t="s">
        <v>45</v>
      </c>
      <c r="D1294" s="1">
        <v>40209</v>
      </c>
      <c r="E1294" s="1">
        <v>414712</v>
      </c>
      <c r="F1294" s="2">
        <v>82245</v>
      </c>
    </row>
    <row r="1295" spans="1:6" x14ac:dyDescent="0.25">
      <c r="A1295">
        <v>2018</v>
      </c>
      <c r="B1295" t="s">
        <v>57</v>
      </c>
      <c r="C1295" t="s">
        <v>46</v>
      </c>
      <c r="D1295" s="1">
        <v>8323</v>
      </c>
      <c r="E1295" s="1">
        <v>68965</v>
      </c>
      <c r="F1295" s="2">
        <v>51745</v>
      </c>
    </row>
    <row r="1296" spans="1:6" x14ac:dyDescent="0.25">
      <c r="A1296">
        <v>2018</v>
      </c>
      <c r="B1296" t="s">
        <v>57</v>
      </c>
      <c r="C1296" t="s">
        <v>47</v>
      </c>
      <c r="D1296" s="1">
        <v>25856</v>
      </c>
      <c r="E1296" s="1">
        <v>327719</v>
      </c>
      <c r="F1296" s="2">
        <v>60773</v>
      </c>
    </row>
    <row r="1297" spans="1:6" x14ac:dyDescent="0.25">
      <c r="A1297">
        <v>2018</v>
      </c>
      <c r="B1297" t="s">
        <v>57</v>
      </c>
      <c r="C1297" t="s">
        <v>48</v>
      </c>
      <c r="D1297" s="1">
        <v>4559</v>
      </c>
      <c r="E1297" s="1">
        <v>18733</v>
      </c>
      <c r="F1297" s="2">
        <v>52783</v>
      </c>
    </row>
    <row r="1298" spans="1:6" x14ac:dyDescent="0.25">
      <c r="A1298">
        <v>2018</v>
      </c>
      <c r="B1298" t="s">
        <v>58</v>
      </c>
      <c r="C1298" t="s">
        <v>1</v>
      </c>
      <c r="D1298" s="1">
        <v>12678</v>
      </c>
      <c r="E1298" s="1">
        <v>233306</v>
      </c>
      <c r="F1298" s="2">
        <v>46432</v>
      </c>
    </row>
    <row r="1299" spans="1:6" x14ac:dyDescent="0.25">
      <c r="A1299">
        <v>2018</v>
      </c>
      <c r="B1299" t="s">
        <v>58</v>
      </c>
      <c r="C1299" t="s">
        <v>2</v>
      </c>
      <c r="D1299" s="1">
        <v>18037</v>
      </c>
      <c r="E1299" s="1">
        <v>440616</v>
      </c>
      <c r="F1299" s="2">
        <v>51125</v>
      </c>
    </row>
    <row r="1300" spans="1:6" x14ac:dyDescent="0.25">
      <c r="A1300">
        <v>2018</v>
      </c>
      <c r="B1300" t="s">
        <v>58</v>
      </c>
      <c r="C1300" t="s">
        <v>3</v>
      </c>
      <c r="D1300" s="1">
        <v>15788</v>
      </c>
      <c r="E1300" s="1">
        <v>186119</v>
      </c>
      <c r="F1300" s="2">
        <v>42468</v>
      </c>
    </row>
    <row r="1301" spans="1:6" x14ac:dyDescent="0.25">
      <c r="A1301">
        <v>2018</v>
      </c>
      <c r="B1301" t="s">
        <v>58</v>
      </c>
      <c r="C1301" t="s">
        <v>4</v>
      </c>
      <c r="D1301" s="1">
        <v>618901</v>
      </c>
      <c r="E1301" s="1">
        <v>2649228</v>
      </c>
      <c r="F1301" s="2">
        <v>52187</v>
      </c>
    </row>
    <row r="1302" spans="1:6" x14ac:dyDescent="0.25">
      <c r="A1302">
        <v>2018</v>
      </c>
      <c r="B1302" t="s">
        <v>58</v>
      </c>
      <c r="C1302" t="s">
        <v>5</v>
      </c>
      <c r="D1302" s="1">
        <v>21666</v>
      </c>
      <c r="E1302" s="1">
        <v>335274</v>
      </c>
      <c r="F1302" s="2">
        <v>50156</v>
      </c>
    </row>
    <row r="1303" spans="1:6" x14ac:dyDescent="0.25">
      <c r="A1303">
        <v>2018</v>
      </c>
      <c r="B1303" t="s">
        <v>58</v>
      </c>
      <c r="C1303" t="s">
        <v>6</v>
      </c>
      <c r="D1303" s="1">
        <v>13090</v>
      </c>
      <c r="E1303" s="1">
        <v>326866</v>
      </c>
      <c r="F1303" s="2">
        <v>55369</v>
      </c>
    </row>
    <row r="1304" spans="1:6" x14ac:dyDescent="0.25">
      <c r="A1304">
        <v>2018</v>
      </c>
      <c r="B1304" t="s">
        <v>58</v>
      </c>
      <c r="C1304" t="s">
        <v>7</v>
      </c>
      <c r="D1304" s="1">
        <v>5063</v>
      </c>
      <c r="E1304" s="1">
        <v>75524</v>
      </c>
      <c r="F1304" s="2">
        <v>53795</v>
      </c>
    </row>
    <row r="1305" spans="1:6" x14ac:dyDescent="0.25">
      <c r="A1305">
        <v>2018</v>
      </c>
      <c r="B1305" t="s">
        <v>58</v>
      </c>
      <c r="C1305" t="s">
        <v>8</v>
      </c>
      <c r="D1305" s="1">
        <v>73761</v>
      </c>
      <c r="E1305" s="1">
        <v>1287814</v>
      </c>
      <c r="F1305" s="2">
        <v>50781</v>
      </c>
    </row>
    <row r="1306" spans="1:6" x14ac:dyDescent="0.25">
      <c r="A1306">
        <v>2018</v>
      </c>
      <c r="B1306" t="s">
        <v>58</v>
      </c>
      <c r="C1306" t="s">
        <v>9</v>
      </c>
      <c r="D1306" s="1">
        <v>28952</v>
      </c>
      <c r="E1306" s="1">
        <v>562436</v>
      </c>
      <c r="F1306" s="2">
        <v>52062</v>
      </c>
    </row>
    <row r="1307" spans="1:6" x14ac:dyDescent="0.25">
      <c r="A1307">
        <v>2018</v>
      </c>
      <c r="B1307" t="s">
        <v>58</v>
      </c>
      <c r="C1307" t="s">
        <v>10</v>
      </c>
      <c r="D1307" s="1">
        <v>7824</v>
      </c>
      <c r="E1307" s="1">
        <v>100212</v>
      </c>
      <c r="F1307" s="2">
        <v>42047</v>
      </c>
    </row>
    <row r="1308" spans="1:6" x14ac:dyDescent="0.25">
      <c r="A1308">
        <v>2018</v>
      </c>
      <c r="B1308" t="s">
        <v>58</v>
      </c>
      <c r="C1308" t="s">
        <v>11</v>
      </c>
      <c r="D1308" s="1">
        <v>34720</v>
      </c>
      <c r="E1308" s="1">
        <v>919288</v>
      </c>
      <c r="F1308" s="2">
        <v>50959</v>
      </c>
    </row>
    <row r="1309" spans="1:6" x14ac:dyDescent="0.25">
      <c r="A1309">
        <v>2018</v>
      </c>
      <c r="B1309" t="s">
        <v>58</v>
      </c>
      <c r="C1309" t="s">
        <v>12</v>
      </c>
      <c r="D1309" s="1">
        <v>15692</v>
      </c>
      <c r="E1309" s="1">
        <v>459398</v>
      </c>
      <c r="F1309" s="2">
        <v>47681</v>
      </c>
    </row>
    <row r="1310" spans="1:6" x14ac:dyDescent="0.25">
      <c r="A1310">
        <v>2018</v>
      </c>
      <c r="B1310" t="s">
        <v>58</v>
      </c>
      <c r="C1310" t="s">
        <v>13</v>
      </c>
      <c r="D1310" s="1">
        <v>11589</v>
      </c>
      <c r="E1310" s="1">
        <v>219674</v>
      </c>
      <c r="F1310" s="2">
        <v>43022</v>
      </c>
    </row>
    <row r="1311" spans="1:6" x14ac:dyDescent="0.25">
      <c r="A1311">
        <v>2018</v>
      </c>
      <c r="B1311" t="s">
        <v>58</v>
      </c>
      <c r="C1311" t="s">
        <v>14</v>
      </c>
      <c r="D1311" s="1">
        <v>10277</v>
      </c>
      <c r="E1311" s="1">
        <v>195132</v>
      </c>
      <c r="F1311" s="2">
        <v>42586</v>
      </c>
    </row>
    <row r="1312" spans="1:6" x14ac:dyDescent="0.25">
      <c r="A1312">
        <v>2018</v>
      </c>
      <c r="B1312" t="s">
        <v>58</v>
      </c>
      <c r="C1312" t="s">
        <v>15</v>
      </c>
      <c r="D1312" s="1">
        <v>18161</v>
      </c>
      <c r="E1312" s="1">
        <v>267486</v>
      </c>
      <c r="F1312" s="2">
        <v>48210</v>
      </c>
    </row>
    <row r="1313" spans="1:6" x14ac:dyDescent="0.25">
      <c r="A1313">
        <v>2018</v>
      </c>
      <c r="B1313" t="s">
        <v>58</v>
      </c>
      <c r="C1313" t="s">
        <v>16</v>
      </c>
      <c r="D1313" s="1">
        <v>15480</v>
      </c>
      <c r="E1313" s="1">
        <v>300015</v>
      </c>
      <c r="F1313" s="2">
        <v>43339</v>
      </c>
    </row>
    <row r="1314" spans="1:6" x14ac:dyDescent="0.25">
      <c r="A1314">
        <v>2018</v>
      </c>
      <c r="B1314" t="s">
        <v>58</v>
      </c>
      <c r="C1314" t="s">
        <v>17</v>
      </c>
      <c r="D1314" s="1">
        <v>5483</v>
      </c>
      <c r="E1314" s="1">
        <v>118009</v>
      </c>
      <c r="F1314" s="2">
        <v>47535</v>
      </c>
    </row>
    <row r="1315" spans="1:6" x14ac:dyDescent="0.25">
      <c r="A1315">
        <v>2018</v>
      </c>
      <c r="B1315" t="s">
        <v>58</v>
      </c>
      <c r="C1315" t="s">
        <v>18</v>
      </c>
      <c r="D1315" s="1">
        <v>20856</v>
      </c>
      <c r="E1315" s="1">
        <v>445328</v>
      </c>
      <c r="F1315" s="2">
        <v>54310</v>
      </c>
    </row>
    <row r="1316" spans="1:6" x14ac:dyDescent="0.25">
      <c r="A1316">
        <v>2018</v>
      </c>
      <c r="B1316" t="s">
        <v>58</v>
      </c>
      <c r="C1316" t="s">
        <v>19</v>
      </c>
      <c r="D1316" s="1">
        <v>66364</v>
      </c>
      <c r="E1316" s="1">
        <v>773683</v>
      </c>
      <c r="F1316" s="2">
        <v>58448</v>
      </c>
    </row>
    <row r="1317" spans="1:6" x14ac:dyDescent="0.25">
      <c r="A1317">
        <v>2018</v>
      </c>
      <c r="B1317" t="s">
        <v>58</v>
      </c>
      <c r="C1317" t="s">
        <v>20</v>
      </c>
      <c r="D1317" s="1">
        <v>24822</v>
      </c>
      <c r="E1317" s="1">
        <v>659230</v>
      </c>
      <c r="F1317" s="2">
        <v>49739</v>
      </c>
    </row>
    <row r="1318" spans="1:6" x14ac:dyDescent="0.25">
      <c r="A1318">
        <v>2018</v>
      </c>
      <c r="B1318" t="s">
        <v>58</v>
      </c>
      <c r="C1318" t="s">
        <v>21</v>
      </c>
      <c r="D1318" s="1">
        <v>19210</v>
      </c>
      <c r="E1318" s="1">
        <v>526556</v>
      </c>
      <c r="F1318" s="2">
        <v>51469</v>
      </c>
    </row>
    <row r="1319" spans="1:6" x14ac:dyDescent="0.25">
      <c r="A1319">
        <v>2018</v>
      </c>
      <c r="B1319" t="s">
        <v>58</v>
      </c>
      <c r="C1319" t="s">
        <v>22</v>
      </c>
      <c r="D1319" s="1">
        <v>7531</v>
      </c>
      <c r="E1319" s="1">
        <v>144105</v>
      </c>
      <c r="F1319" s="2">
        <v>41620</v>
      </c>
    </row>
    <row r="1320" spans="1:6" x14ac:dyDescent="0.25">
      <c r="A1320">
        <v>2018</v>
      </c>
      <c r="B1320" t="s">
        <v>58</v>
      </c>
      <c r="C1320" t="s">
        <v>23</v>
      </c>
      <c r="D1320" s="1">
        <v>48555</v>
      </c>
      <c r="E1320" s="1">
        <v>454728</v>
      </c>
      <c r="F1320" s="2">
        <v>46127</v>
      </c>
    </row>
    <row r="1321" spans="1:6" x14ac:dyDescent="0.25">
      <c r="A1321">
        <v>2018</v>
      </c>
      <c r="B1321" t="s">
        <v>58</v>
      </c>
      <c r="C1321" t="s">
        <v>24</v>
      </c>
      <c r="D1321" s="1">
        <v>4637</v>
      </c>
      <c r="E1321" s="1">
        <v>73530</v>
      </c>
      <c r="F1321" s="2">
        <v>47539</v>
      </c>
    </row>
    <row r="1322" spans="1:6" x14ac:dyDescent="0.25">
      <c r="A1322">
        <v>2018</v>
      </c>
      <c r="B1322" t="s">
        <v>58</v>
      </c>
      <c r="C1322" t="s">
        <v>25</v>
      </c>
      <c r="D1322" s="1">
        <v>12205</v>
      </c>
      <c r="E1322" s="1">
        <v>138155</v>
      </c>
      <c r="F1322" s="2">
        <v>46678</v>
      </c>
    </row>
    <row r="1323" spans="1:6" x14ac:dyDescent="0.25">
      <c r="A1323">
        <v>2018</v>
      </c>
      <c r="B1323" t="s">
        <v>58</v>
      </c>
      <c r="C1323" t="s">
        <v>26</v>
      </c>
      <c r="D1323" s="1">
        <v>8913</v>
      </c>
      <c r="E1323" s="1">
        <v>139036</v>
      </c>
      <c r="F1323" s="2">
        <v>54167</v>
      </c>
    </row>
    <row r="1324" spans="1:6" x14ac:dyDescent="0.25">
      <c r="A1324">
        <v>2018</v>
      </c>
      <c r="B1324" t="s">
        <v>58</v>
      </c>
      <c r="C1324" t="s">
        <v>27</v>
      </c>
      <c r="D1324" s="1">
        <v>4700</v>
      </c>
      <c r="E1324" s="1">
        <v>112567</v>
      </c>
      <c r="F1324" s="2">
        <v>56317</v>
      </c>
    </row>
    <row r="1325" spans="1:6" x14ac:dyDescent="0.25">
      <c r="A1325">
        <v>2018</v>
      </c>
      <c r="B1325" t="s">
        <v>58</v>
      </c>
      <c r="C1325" t="s">
        <v>28</v>
      </c>
      <c r="D1325" s="1">
        <v>37328</v>
      </c>
      <c r="E1325" s="1">
        <v>656716</v>
      </c>
      <c r="F1325" s="2">
        <v>53402</v>
      </c>
    </row>
    <row r="1326" spans="1:6" x14ac:dyDescent="0.25">
      <c r="A1326">
        <v>2018</v>
      </c>
      <c r="B1326" t="s">
        <v>58</v>
      </c>
      <c r="C1326" t="s">
        <v>29</v>
      </c>
      <c r="D1326" s="1">
        <v>10221</v>
      </c>
      <c r="E1326" s="1">
        <v>128590</v>
      </c>
      <c r="F1326" s="2">
        <v>41645</v>
      </c>
    </row>
    <row r="1327" spans="1:6" x14ac:dyDescent="0.25">
      <c r="A1327">
        <v>2018</v>
      </c>
      <c r="B1327" t="s">
        <v>58</v>
      </c>
      <c r="C1327" t="s">
        <v>30</v>
      </c>
      <c r="D1327" s="1">
        <v>67399</v>
      </c>
      <c r="E1327" s="1">
        <v>1914153</v>
      </c>
      <c r="F1327" s="2">
        <v>53467</v>
      </c>
    </row>
    <row r="1328" spans="1:6" x14ac:dyDescent="0.25">
      <c r="A1328">
        <v>2018</v>
      </c>
      <c r="B1328" t="s">
        <v>58</v>
      </c>
      <c r="C1328" t="s">
        <v>31</v>
      </c>
      <c r="D1328" s="1">
        <v>27210</v>
      </c>
      <c r="E1328" s="1">
        <v>592067</v>
      </c>
      <c r="F1328" s="2">
        <v>48381</v>
      </c>
    </row>
    <row r="1329" spans="1:6" x14ac:dyDescent="0.25">
      <c r="A1329">
        <v>2018</v>
      </c>
      <c r="B1329" t="s">
        <v>58</v>
      </c>
      <c r="C1329" t="s">
        <v>32</v>
      </c>
      <c r="D1329" s="1">
        <v>2558</v>
      </c>
      <c r="E1329" s="1">
        <v>62184</v>
      </c>
      <c r="F1329" s="2">
        <v>51404</v>
      </c>
    </row>
    <row r="1330" spans="1:6" x14ac:dyDescent="0.25">
      <c r="A1330">
        <v>2018</v>
      </c>
      <c r="B1330" t="s">
        <v>58</v>
      </c>
      <c r="C1330" t="s">
        <v>33</v>
      </c>
      <c r="D1330" s="1">
        <v>34508</v>
      </c>
      <c r="E1330" s="1">
        <v>904140</v>
      </c>
      <c r="F1330" s="2">
        <v>46408</v>
      </c>
    </row>
    <row r="1331" spans="1:6" x14ac:dyDescent="0.25">
      <c r="A1331">
        <v>2018</v>
      </c>
      <c r="B1331" t="s">
        <v>58</v>
      </c>
      <c r="C1331" t="s">
        <v>34</v>
      </c>
      <c r="D1331" s="1">
        <v>13563</v>
      </c>
      <c r="E1331" s="1">
        <v>209863</v>
      </c>
      <c r="F1331" s="2">
        <v>45570</v>
      </c>
    </row>
    <row r="1332" spans="1:6" x14ac:dyDescent="0.25">
      <c r="A1332">
        <v>2018</v>
      </c>
      <c r="B1332" t="s">
        <v>58</v>
      </c>
      <c r="C1332" t="s">
        <v>35</v>
      </c>
      <c r="D1332" s="1">
        <v>15708</v>
      </c>
      <c r="E1332" s="1">
        <v>288939</v>
      </c>
      <c r="F1332" s="2">
        <v>50107</v>
      </c>
    </row>
    <row r="1333" spans="1:6" x14ac:dyDescent="0.25">
      <c r="A1333">
        <v>2018</v>
      </c>
      <c r="B1333" t="s">
        <v>58</v>
      </c>
      <c r="C1333" t="s">
        <v>36</v>
      </c>
      <c r="D1333" s="1">
        <v>57768</v>
      </c>
      <c r="E1333" s="1">
        <v>1209344</v>
      </c>
      <c r="F1333" s="2">
        <v>51808</v>
      </c>
    </row>
    <row r="1334" spans="1:6" x14ac:dyDescent="0.25">
      <c r="A1334">
        <v>2018</v>
      </c>
      <c r="B1334" t="s">
        <v>58</v>
      </c>
      <c r="C1334" t="s">
        <v>37</v>
      </c>
      <c r="D1334" s="1">
        <v>4545</v>
      </c>
      <c r="E1334" s="1">
        <v>100506</v>
      </c>
      <c r="F1334" s="2">
        <v>48716</v>
      </c>
    </row>
    <row r="1335" spans="1:6" x14ac:dyDescent="0.25">
      <c r="A1335">
        <v>2018</v>
      </c>
      <c r="B1335" t="s">
        <v>58</v>
      </c>
      <c r="C1335" t="s">
        <v>38</v>
      </c>
      <c r="D1335" s="1">
        <v>11971</v>
      </c>
      <c r="E1335" s="1">
        <v>234487</v>
      </c>
      <c r="F1335" s="2">
        <v>45993</v>
      </c>
    </row>
    <row r="1336" spans="1:6" x14ac:dyDescent="0.25">
      <c r="A1336">
        <v>2018</v>
      </c>
      <c r="B1336" t="s">
        <v>58</v>
      </c>
      <c r="C1336" t="s">
        <v>39</v>
      </c>
      <c r="D1336" s="1">
        <v>2839</v>
      </c>
      <c r="E1336" s="1">
        <v>67868</v>
      </c>
      <c r="F1336" s="2">
        <v>50399</v>
      </c>
    </row>
    <row r="1337" spans="1:6" x14ac:dyDescent="0.25">
      <c r="A1337">
        <v>2018</v>
      </c>
      <c r="B1337" t="s">
        <v>58</v>
      </c>
      <c r="C1337" t="s">
        <v>40</v>
      </c>
      <c r="D1337" s="1">
        <v>16127</v>
      </c>
      <c r="E1337" s="1">
        <v>420817</v>
      </c>
      <c r="F1337" s="2">
        <v>52099</v>
      </c>
    </row>
    <row r="1338" spans="1:6" x14ac:dyDescent="0.25">
      <c r="A1338">
        <v>2018</v>
      </c>
      <c r="B1338" t="s">
        <v>58</v>
      </c>
      <c r="C1338" t="s">
        <v>41</v>
      </c>
      <c r="D1338" s="1">
        <v>90552</v>
      </c>
      <c r="E1338" s="1">
        <v>1641637</v>
      </c>
      <c r="F1338" s="2">
        <v>48036</v>
      </c>
    </row>
    <row r="1339" spans="1:6" x14ac:dyDescent="0.25">
      <c r="A1339">
        <v>2018</v>
      </c>
      <c r="B1339" t="s">
        <v>58</v>
      </c>
      <c r="C1339" t="s">
        <v>42</v>
      </c>
      <c r="D1339" s="1">
        <v>12264</v>
      </c>
      <c r="E1339" s="1">
        <v>186785</v>
      </c>
      <c r="F1339" s="2">
        <v>43696</v>
      </c>
    </row>
    <row r="1340" spans="1:6" x14ac:dyDescent="0.25">
      <c r="A1340">
        <v>2018</v>
      </c>
      <c r="B1340" t="s">
        <v>58</v>
      </c>
      <c r="C1340" t="s">
        <v>43</v>
      </c>
      <c r="D1340" s="1">
        <v>2463</v>
      </c>
      <c r="E1340" s="1">
        <v>62630</v>
      </c>
      <c r="F1340" s="2">
        <v>46699</v>
      </c>
    </row>
    <row r="1341" spans="1:6" x14ac:dyDescent="0.25">
      <c r="A1341">
        <v>2018</v>
      </c>
      <c r="B1341" t="s">
        <v>58</v>
      </c>
      <c r="C1341" t="s">
        <v>44</v>
      </c>
      <c r="D1341" s="1">
        <v>43566</v>
      </c>
      <c r="E1341" s="1">
        <v>505487</v>
      </c>
      <c r="F1341" s="2">
        <v>49627</v>
      </c>
    </row>
    <row r="1342" spans="1:6" x14ac:dyDescent="0.25">
      <c r="A1342">
        <v>2018</v>
      </c>
      <c r="B1342" t="s">
        <v>58</v>
      </c>
      <c r="C1342" t="s">
        <v>45</v>
      </c>
      <c r="D1342" s="1">
        <v>61026</v>
      </c>
      <c r="E1342" s="1">
        <v>465717</v>
      </c>
      <c r="F1342" s="2">
        <v>51354</v>
      </c>
    </row>
    <row r="1343" spans="1:6" x14ac:dyDescent="0.25">
      <c r="A1343">
        <v>2018</v>
      </c>
      <c r="B1343" t="s">
        <v>58</v>
      </c>
      <c r="C1343" t="s">
        <v>46</v>
      </c>
      <c r="D1343" s="1">
        <v>5765</v>
      </c>
      <c r="E1343" s="1">
        <v>124431</v>
      </c>
      <c r="F1343" s="2">
        <v>46182</v>
      </c>
    </row>
    <row r="1344" spans="1:6" x14ac:dyDescent="0.25">
      <c r="A1344">
        <v>2018</v>
      </c>
      <c r="B1344" t="s">
        <v>58</v>
      </c>
      <c r="C1344" t="s">
        <v>47</v>
      </c>
      <c r="D1344" s="1">
        <v>28013</v>
      </c>
      <c r="E1344" s="1">
        <v>434143</v>
      </c>
      <c r="F1344" s="2">
        <v>49195</v>
      </c>
    </row>
    <row r="1345" spans="1:6" x14ac:dyDescent="0.25">
      <c r="A1345">
        <v>2018</v>
      </c>
      <c r="B1345" t="s">
        <v>58</v>
      </c>
      <c r="C1345" t="s">
        <v>48</v>
      </c>
      <c r="D1345" s="1">
        <v>3338</v>
      </c>
      <c r="E1345" s="1">
        <v>26972</v>
      </c>
      <c r="F1345" s="2">
        <v>42906</v>
      </c>
    </row>
    <row r="1346" spans="1:6" x14ac:dyDescent="0.25">
      <c r="A1346">
        <v>2018</v>
      </c>
      <c r="B1346" t="s">
        <v>59</v>
      </c>
      <c r="C1346" t="s">
        <v>1</v>
      </c>
      <c r="D1346" s="1">
        <v>10993</v>
      </c>
      <c r="E1346" s="1">
        <v>205942</v>
      </c>
      <c r="F1346" s="2">
        <v>16798</v>
      </c>
    </row>
    <row r="1347" spans="1:6" x14ac:dyDescent="0.25">
      <c r="A1347">
        <v>2018</v>
      </c>
      <c r="B1347" t="s">
        <v>59</v>
      </c>
      <c r="C1347" t="s">
        <v>2</v>
      </c>
      <c r="D1347" s="1">
        <v>13627</v>
      </c>
      <c r="E1347" s="1">
        <v>325897</v>
      </c>
      <c r="F1347" s="2">
        <v>24580</v>
      </c>
    </row>
    <row r="1348" spans="1:6" x14ac:dyDescent="0.25">
      <c r="A1348">
        <v>2018</v>
      </c>
      <c r="B1348" t="s">
        <v>59</v>
      </c>
      <c r="C1348" t="s">
        <v>3</v>
      </c>
      <c r="D1348" s="1">
        <v>7168</v>
      </c>
      <c r="E1348" s="1">
        <v>118405</v>
      </c>
      <c r="F1348" s="2">
        <v>16536</v>
      </c>
    </row>
    <row r="1349" spans="1:6" x14ac:dyDescent="0.25">
      <c r="A1349">
        <v>2018</v>
      </c>
      <c r="B1349" t="s">
        <v>59</v>
      </c>
      <c r="C1349" t="s">
        <v>4</v>
      </c>
      <c r="D1349" s="1">
        <v>111455</v>
      </c>
      <c r="E1349" s="1">
        <v>1988750</v>
      </c>
      <c r="F1349" s="2">
        <v>30527</v>
      </c>
    </row>
    <row r="1350" spans="1:6" x14ac:dyDescent="0.25">
      <c r="A1350">
        <v>2018</v>
      </c>
      <c r="B1350" t="s">
        <v>59</v>
      </c>
      <c r="C1350" t="s">
        <v>5</v>
      </c>
      <c r="D1350" s="1">
        <v>16939</v>
      </c>
      <c r="E1350" s="1">
        <v>339407</v>
      </c>
      <c r="F1350" s="2">
        <v>25878</v>
      </c>
    </row>
    <row r="1351" spans="1:6" x14ac:dyDescent="0.25">
      <c r="A1351">
        <v>2018</v>
      </c>
      <c r="B1351" t="s">
        <v>59</v>
      </c>
      <c r="C1351" t="s">
        <v>6</v>
      </c>
      <c r="D1351" s="1">
        <v>10668</v>
      </c>
      <c r="E1351" s="1">
        <v>157709</v>
      </c>
      <c r="F1351" s="2">
        <v>23705</v>
      </c>
    </row>
    <row r="1352" spans="1:6" x14ac:dyDescent="0.25">
      <c r="A1352">
        <v>2018</v>
      </c>
      <c r="B1352" t="s">
        <v>59</v>
      </c>
      <c r="C1352" t="s">
        <v>7</v>
      </c>
      <c r="D1352" s="1">
        <v>2637</v>
      </c>
      <c r="E1352" s="1">
        <v>51696</v>
      </c>
      <c r="F1352" s="2">
        <v>20414</v>
      </c>
    </row>
    <row r="1353" spans="1:6" x14ac:dyDescent="0.25">
      <c r="A1353">
        <v>2018</v>
      </c>
      <c r="B1353" t="s">
        <v>59</v>
      </c>
      <c r="C1353" t="s">
        <v>8</v>
      </c>
      <c r="D1353" s="1">
        <v>56587</v>
      </c>
      <c r="E1353" s="1">
        <v>1226786</v>
      </c>
      <c r="F1353" s="2">
        <v>25881</v>
      </c>
    </row>
    <row r="1354" spans="1:6" x14ac:dyDescent="0.25">
      <c r="A1354">
        <v>2018</v>
      </c>
      <c r="B1354" t="s">
        <v>59</v>
      </c>
      <c r="C1354" t="s">
        <v>9</v>
      </c>
      <c r="D1354" s="1">
        <v>24275</v>
      </c>
      <c r="E1354" s="1">
        <v>487598</v>
      </c>
      <c r="F1354" s="2">
        <v>20604</v>
      </c>
    </row>
    <row r="1355" spans="1:6" x14ac:dyDescent="0.25">
      <c r="A1355">
        <v>2018</v>
      </c>
      <c r="B1355" t="s">
        <v>59</v>
      </c>
      <c r="C1355" t="s">
        <v>10</v>
      </c>
      <c r="D1355" s="1">
        <v>5008</v>
      </c>
      <c r="E1355" s="1">
        <v>78912</v>
      </c>
      <c r="F1355" s="2">
        <v>17141</v>
      </c>
    </row>
    <row r="1356" spans="1:6" x14ac:dyDescent="0.25">
      <c r="A1356">
        <v>2018</v>
      </c>
      <c r="B1356" t="s">
        <v>59</v>
      </c>
      <c r="C1356" t="s">
        <v>11</v>
      </c>
      <c r="D1356" s="1">
        <v>32619</v>
      </c>
      <c r="E1356" s="1">
        <v>617101</v>
      </c>
      <c r="F1356" s="2">
        <v>23765</v>
      </c>
    </row>
    <row r="1357" spans="1:6" x14ac:dyDescent="0.25">
      <c r="A1357">
        <v>2018</v>
      </c>
      <c r="B1357" t="s">
        <v>59</v>
      </c>
      <c r="C1357" t="s">
        <v>12</v>
      </c>
      <c r="D1357" s="1">
        <v>15564</v>
      </c>
      <c r="E1357" s="1">
        <v>310335</v>
      </c>
      <c r="F1357" s="2">
        <v>18981</v>
      </c>
    </row>
    <row r="1358" spans="1:6" x14ac:dyDescent="0.25">
      <c r="A1358">
        <v>2018</v>
      </c>
      <c r="B1358" t="s">
        <v>59</v>
      </c>
      <c r="C1358" t="s">
        <v>13</v>
      </c>
      <c r="D1358" s="1">
        <v>8670</v>
      </c>
      <c r="E1358" s="1">
        <v>143729</v>
      </c>
      <c r="F1358" s="2">
        <v>16799</v>
      </c>
    </row>
    <row r="1359" spans="1:6" x14ac:dyDescent="0.25">
      <c r="A1359">
        <v>2018</v>
      </c>
      <c r="B1359" t="s">
        <v>59</v>
      </c>
      <c r="C1359" t="s">
        <v>14</v>
      </c>
      <c r="D1359" s="1">
        <v>6895</v>
      </c>
      <c r="E1359" s="1">
        <v>129372</v>
      </c>
      <c r="F1359" s="2">
        <v>16764</v>
      </c>
    </row>
    <row r="1360" spans="1:6" x14ac:dyDescent="0.25">
      <c r="A1360">
        <v>2018</v>
      </c>
      <c r="B1360" t="s">
        <v>59</v>
      </c>
      <c r="C1360" t="s">
        <v>15</v>
      </c>
      <c r="D1360" s="1">
        <v>10080</v>
      </c>
      <c r="E1360" s="1">
        <v>197894</v>
      </c>
      <c r="F1360" s="2">
        <v>17719</v>
      </c>
    </row>
    <row r="1361" spans="1:6" x14ac:dyDescent="0.25">
      <c r="A1361">
        <v>2018</v>
      </c>
      <c r="B1361" t="s">
        <v>59</v>
      </c>
      <c r="C1361" t="s">
        <v>16</v>
      </c>
      <c r="D1361" s="1">
        <v>12415</v>
      </c>
      <c r="E1361" s="1">
        <v>236357</v>
      </c>
      <c r="F1361" s="2">
        <v>21264</v>
      </c>
    </row>
    <row r="1362" spans="1:6" x14ac:dyDescent="0.25">
      <c r="A1362">
        <v>2018</v>
      </c>
      <c r="B1362" t="s">
        <v>59</v>
      </c>
      <c r="C1362" t="s">
        <v>17</v>
      </c>
      <c r="D1362" s="1">
        <v>5047</v>
      </c>
      <c r="E1362" s="1">
        <v>68406</v>
      </c>
      <c r="F1362" s="2">
        <v>22087</v>
      </c>
    </row>
    <row r="1363" spans="1:6" x14ac:dyDescent="0.25">
      <c r="A1363">
        <v>2018</v>
      </c>
      <c r="B1363" t="s">
        <v>59</v>
      </c>
      <c r="C1363" t="s">
        <v>18</v>
      </c>
      <c r="D1363" s="1">
        <v>14772</v>
      </c>
      <c r="E1363" s="1">
        <v>282009</v>
      </c>
      <c r="F1363" s="2">
        <v>24012</v>
      </c>
    </row>
    <row r="1364" spans="1:6" x14ac:dyDescent="0.25">
      <c r="A1364">
        <v>2018</v>
      </c>
      <c r="B1364" t="s">
        <v>59</v>
      </c>
      <c r="C1364" t="s">
        <v>19</v>
      </c>
      <c r="D1364" s="1">
        <v>20642</v>
      </c>
      <c r="E1364" s="1">
        <v>375767</v>
      </c>
      <c r="F1364" s="2">
        <v>27758</v>
      </c>
    </row>
    <row r="1365" spans="1:6" x14ac:dyDescent="0.25">
      <c r="A1365">
        <v>2018</v>
      </c>
      <c r="B1365" t="s">
        <v>59</v>
      </c>
      <c r="C1365" t="s">
        <v>20</v>
      </c>
      <c r="D1365" s="1">
        <v>22025</v>
      </c>
      <c r="E1365" s="1">
        <v>432290</v>
      </c>
      <c r="F1365" s="2">
        <v>20566</v>
      </c>
    </row>
    <row r="1366" spans="1:6" x14ac:dyDescent="0.25">
      <c r="A1366">
        <v>2018</v>
      </c>
      <c r="B1366" t="s">
        <v>59</v>
      </c>
      <c r="C1366" t="s">
        <v>21</v>
      </c>
      <c r="D1366" s="1">
        <v>15294</v>
      </c>
      <c r="E1366" s="1">
        <v>272821</v>
      </c>
      <c r="F1366" s="2">
        <v>22507</v>
      </c>
    </row>
    <row r="1367" spans="1:6" x14ac:dyDescent="0.25">
      <c r="A1367">
        <v>2018</v>
      </c>
      <c r="B1367" t="s">
        <v>59</v>
      </c>
      <c r="C1367" t="s">
        <v>22</v>
      </c>
      <c r="D1367" s="1">
        <v>6464</v>
      </c>
      <c r="E1367" s="1">
        <v>134785</v>
      </c>
      <c r="F1367" s="2">
        <v>17523</v>
      </c>
    </row>
    <row r="1368" spans="1:6" x14ac:dyDescent="0.25">
      <c r="A1368">
        <v>2018</v>
      </c>
      <c r="B1368" t="s">
        <v>59</v>
      </c>
      <c r="C1368" t="s">
        <v>23</v>
      </c>
      <c r="D1368" s="1">
        <v>14797</v>
      </c>
      <c r="E1368" s="1">
        <v>305418</v>
      </c>
      <c r="F1368" s="2">
        <v>20892</v>
      </c>
    </row>
    <row r="1369" spans="1:6" x14ac:dyDescent="0.25">
      <c r="A1369">
        <v>2018</v>
      </c>
      <c r="B1369" t="s">
        <v>59</v>
      </c>
      <c r="C1369" t="s">
        <v>24</v>
      </c>
      <c r="D1369" s="1">
        <v>5071</v>
      </c>
      <c r="E1369" s="1">
        <v>66044</v>
      </c>
      <c r="F1369" s="2">
        <v>19150</v>
      </c>
    </row>
    <row r="1370" spans="1:6" x14ac:dyDescent="0.25">
      <c r="A1370">
        <v>2018</v>
      </c>
      <c r="B1370" t="s">
        <v>59</v>
      </c>
      <c r="C1370" t="s">
        <v>25</v>
      </c>
      <c r="D1370" s="1">
        <v>5561</v>
      </c>
      <c r="E1370" s="1">
        <v>92581</v>
      </c>
      <c r="F1370" s="2">
        <v>16715</v>
      </c>
    </row>
    <row r="1371" spans="1:6" x14ac:dyDescent="0.25">
      <c r="A1371">
        <v>2018</v>
      </c>
      <c r="B1371" t="s">
        <v>59</v>
      </c>
      <c r="C1371" t="s">
        <v>26</v>
      </c>
      <c r="D1371" s="1">
        <v>8499</v>
      </c>
      <c r="E1371" s="1">
        <v>352051</v>
      </c>
      <c r="F1371" s="2">
        <v>33688</v>
      </c>
    </row>
    <row r="1372" spans="1:6" x14ac:dyDescent="0.25">
      <c r="A1372">
        <v>2018</v>
      </c>
      <c r="B1372" t="s">
        <v>59</v>
      </c>
      <c r="C1372" t="s">
        <v>27</v>
      </c>
      <c r="D1372" s="1">
        <v>4595</v>
      </c>
      <c r="E1372" s="1">
        <v>71975</v>
      </c>
      <c r="F1372" s="2">
        <v>21945</v>
      </c>
    </row>
    <row r="1373" spans="1:6" x14ac:dyDescent="0.25">
      <c r="A1373">
        <v>2018</v>
      </c>
      <c r="B1373" t="s">
        <v>59</v>
      </c>
      <c r="C1373" t="s">
        <v>28</v>
      </c>
      <c r="D1373" s="1">
        <v>24132</v>
      </c>
      <c r="E1373" s="1">
        <v>385616</v>
      </c>
      <c r="F1373" s="2">
        <v>26316</v>
      </c>
    </row>
    <row r="1374" spans="1:6" x14ac:dyDescent="0.25">
      <c r="A1374">
        <v>2018</v>
      </c>
      <c r="B1374" t="s">
        <v>59</v>
      </c>
      <c r="C1374" t="s">
        <v>29</v>
      </c>
      <c r="D1374" s="1">
        <v>5107</v>
      </c>
      <c r="E1374" s="1">
        <v>97785</v>
      </c>
      <c r="F1374" s="2">
        <v>18651</v>
      </c>
    </row>
    <row r="1375" spans="1:6" x14ac:dyDescent="0.25">
      <c r="A1375">
        <v>2018</v>
      </c>
      <c r="B1375" t="s">
        <v>59</v>
      </c>
      <c r="C1375" t="s">
        <v>30</v>
      </c>
      <c r="D1375" s="1">
        <v>66285</v>
      </c>
      <c r="E1375" s="1">
        <v>957343</v>
      </c>
      <c r="F1375" s="2">
        <v>33850</v>
      </c>
    </row>
    <row r="1376" spans="1:6" x14ac:dyDescent="0.25">
      <c r="A1376">
        <v>2018</v>
      </c>
      <c r="B1376" t="s">
        <v>59</v>
      </c>
      <c r="C1376" t="s">
        <v>31</v>
      </c>
      <c r="D1376" s="1">
        <v>25859</v>
      </c>
      <c r="E1376" s="1">
        <v>502877</v>
      </c>
      <c r="F1376" s="2">
        <v>19767</v>
      </c>
    </row>
    <row r="1377" spans="1:6" x14ac:dyDescent="0.25">
      <c r="A1377">
        <v>2018</v>
      </c>
      <c r="B1377" t="s">
        <v>59</v>
      </c>
      <c r="C1377" t="s">
        <v>32</v>
      </c>
      <c r="D1377" s="1">
        <v>2627</v>
      </c>
      <c r="E1377" s="1">
        <v>40375</v>
      </c>
      <c r="F1377" s="2">
        <v>17889</v>
      </c>
    </row>
    <row r="1378" spans="1:6" x14ac:dyDescent="0.25">
      <c r="A1378">
        <v>2018</v>
      </c>
      <c r="B1378" t="s">
        <v>59</v>
      </c>
      <c r="C1378" t="s">
        <v>33</v>
      </c>
      <c r="D1378" s="1">
        <v>28523</v>
      </c>
      <c r="E1378" s="1">
        <v>566681</v>
      </c>
      <c r="F1378" s="2">
        <v>19459</v>
      </c>
    </row>
    <row r="1379" spans="1:6" x14ac:dyDescent="0.25">
      <c r="A1379">
        <v>2018</v>
      </c>
      <c r="B1379" t="s">
        <v>59</v>
      </c>
      <c r="C1379" t="s">
        <v>34</v>
      </c>
      <c r="D1379" s="1">
        <v>9140</v>
      </c>
      <c r="E1379" s="1">
        <v>171567</v>
      </c>
      <c r="F1379" s="2">
        <v>18204</v>
      </c>
    </row>
    <row r="1380" spans="1:6" x14ac:dyDescent="0.25">
      <c r="A1380">
        <v>2018</v>
      </c>
      <c r="B1380" t="s">
        <v>59</v>
      </c>
      <c r="C1380" t="s">
        <v>35</v>
      </c>
      <c r="D1380" s="1">
        <v>13794</v>
      </c>
      <c r="E1380" s="1">
        <v>210781</v>
      </c>
      <c r="F1380" s="2">
        <v>22754</v>
      </c>
    </row>
    <row r="1381" spans="1:6" x14ac:dyDescent="0.25">
      <c r="A1381">
        <v>2018</v>
      </c>
      <c r="B1381" t="s">
        <v>59</v>
      </c>
      <c r="C1381" t="s">
        <v>36</v>
      </c>
      <c r="D1381" s="1">
        <v>33471</v>
      </c>
      <c r="E1381" s="1">
        <v>571799</v>
      </c>
      <c r="F1381" s="2">
        <v>21102</v>
      </c>
    </row>
    <row r="1382" spans="1:6" x14ac:dyDescent="0.25">
      <c r="A1382">
        <v>2018</v>
      </c>
      <c r="B1382" t="s">
        <v>59</v>
      </c>
      <c r="C1382" t="s">
        <v>37</v>
      </c>
      <c r="D1382" s="1">
        <v>3748</v>
      </c>
      <c r="E1382" s="1">
        <v>59154</v>
      </c>
      <c r="F1382" s="2">
        <v>22818</v>
      </c>
    </row>
    <row r="1383" spans="1:6" x14ac:dyDescent="0.25">
      <c r="A1383">
        <v>2018</v>
      </c>
      <c r="B1383" t="s">
        <v>59</v>
      </c>
      <c r="C1383" t="s">
        <v>38</v>
      </c>
      <c r="D1383" s="1">
        <v>12841</v>
      </c>
      <c r="E1383" s="1">
        <v>263743</v>
      </c>
      <c r="F1383" s="2">
        <v>17991</v>
      </c>
    </row>
    <row r="1384" spans="1:6" x14ac:dyDescent="0.25">
      <c r="A1384">
        <v>2018</v>
      </c>
      <c r="B1384" t="s">
        <v>59</v>
      </c>
      <c r="C1384" t="s">
        <v>39</v>
      </c>
      <c r="D1384" s="1">
        <v>3149</v>
      </c>
      <c r="E1384" s="1">
        <v>47321</v>
      </c>
      <c r="F1384" s="2">
        <v>16954</v>
      </c>
    </row>
    <row r="1385" spans="1:6" x14ac:dyDescent="0.25">
      <c r="A1385">
        <v>2018</v>
      </c>
      <c r="B1385" t="s">
        <v>59</v>
      </c>
      <c r="C1385" t="s">
        <v>40</v>
      </c>
      <c r="D1385" s="1">
        <v>16427</v>
      </c>
      <c r="E1385" s="1">
        <v>337857</v>
      </c>
      <c r="F1385" s="2">
        <v>23524</v>
      </c>
    </row>
    <row r="1386" spans="1:6" x14ac:dyDescent="0.25">
      <c r="A1386">
        <v>2018</v>
      </c>
      <c r="B1386" t="s">
        <v>59</v>
      </c>
      <c r="C1386" t="s">
        <v>41</v>
      </c>
      <c r="D1386" s="1">
        <v>62760</v>
      </c>
      <c r="E1386" s="1">
        <v>1354468</v>
      </c>
      <c r="F1386" s="2">
        <v>21861</v>
      </c>
    </row>
    <row r="1387" spans="1:6" x14ac:dyDescent="0.25">
      <c r="A1387">
        <v>2018</v>
      </c>
      <c r="B1387" t="s">
        <v>59</v>
      </c>
      <c r="C1387" t="s">
        <v>42</v>
      </c>
      <c r="D1387" s="1">
        <v>7374</v>
      </c>
      <c r="E1387" s="1">
        <v>148446</v>
      </c>
      <c r="F1387" s="2">
        <v>20121</v>
      </c>
    </row>
    <row r="1388" spans="1:6" x14ac:dyDescent="0.25">
      <c r="A1388">
        <v>2018</v>
      </c>
      <c r="B1388" t="s">
        <v>59</v>
      </c>
      <c r="C1388" t="s">
        <v>43</v>
      </c>
      <c r="D1388" s="1">
        <v>2279</v>
      </c>
      <c r="E1388" s="1">
        <v>37198</v>
      </c>
      <c r="F1388" s="2">
        <v>23107</v>
      </c>
    </row>
    <row r="1389" spans="1:6" x14ac:dyDescent="0.25">
      <c r="A1389">
        <v>2018</v>
      </c>
      <c r="B1389" t="s">
        <v>59</v>
      </c>
      <c r="C1389" t="s">
        <v>44</v>
      </c>
      <c r="D1389" s="1">
        <v>20479</v>
      </c>
      <c r="E1389" s="1">
        <v>406321</v>
      </c>
      <c r="F1389" s="2">
        <v>20678</v>
      </c>
    </row>
    <row r="1390" spans="1:6" x14ac:dyDescent="0.25">
      <c r="A1390">
        <v>2018</v>
      </c>
      <c r="B1390" t="s">
        <v>59</v>
      </c>
      <c r="C1390" t="s">
        <v>45</v>
      </c>
      <c r="D1390" s="1">
        <v>20431</v>
      </c>
      <c r="E1390" s="1">
        <v>335635</v>
      </c>
      <c r="F1390" s="2">
        <v>25357</v>
      </c>
    </row>
    <row r="1391" spans="1:6" x14ac:dyDescent="0.25">
      <c r="A1391">
        <v>2018</v>
      </c>
      <c r="B1391" t="s">
        <v>59</v>
      </c>
      <c r="C1391" t="s">
        <v>46</v>
      </c>
      <c r="D1391" s="1">
        <v>4722</v>
      </c>
      <c r="E1391" s="1">
        <v>74133</v>
      </c>
      <c r="F1391" s="2">
        <v>17916</v>
      </c>
    </row>
    <row r="1392" spans="1:6" x14ac:dyDescent="0.25">
      <c r="A1392">
        <v>2018</v>
      </c>
      <c r="B1392" t="s">
        <v>59</v>
      </c>
      <c r="C1392" t="s">
        <v>47</v>
      </c>
      <c r="D1392" s="1">
        <v>16931</v>
      </c>
      <c r="E1392" s="1">
        <v>282313</v>
      </c>
      <c r="F1392" s="2">
        <v>18305</v>
      </c>
    </row>
    <row r="1393" spans="1:6" x14ac:dyDescent="0.25">
      <c r="A1393">
        <v>2018</v>
      </c>
      <c r="B1393" t="s">
        <v>59</v>
      </c>
      <c r="C1393" t="s">
        <v>48</v>
      </c>
      <c r="D1393" s="1">
        <v>2383</v>
      </c>
      <c r="E1393" s="1">
        <v>36403</v>
      </c>
      <c r="F1393" s="2">
        <v>21270</v>
      </c>
    </row>
    <row r="1394" spans="1:6" x14ac:dyDescent="0.25">
      <c r="A1394">
        <v>2018</v>
      </c>
      <c r="B1394" t="s">
        <v>60</v>
      </c>
      <c r="C1394" t="s">
        <v>1</v>
      </c>
      <c r="D1394" s="1">
        <v>10102</v>
      </c>
      <c r="E1394" s="1">
        <v>46094</v>
      </c>
      <c r="F1394" s="2">
        <v>37839</v>
      </c>
    </row>
    <row r="1395" spans="1:6" x14ac:dyDescent="0.25">
      <c r="A1395">
        <v>2018</v>
      </c>
      <c r="B1395" t="s">
        <v>60</v>
      </c>
      <c r="C1395" t="s">
        <v>2</v>
      </c>
      <c r="D1395" s="1">
        <v>11119</v>
      </c>
      <c r="E1395" s="1">
        <v>75319</v>
      </c>
      <c r="F1395" s="2">
        <v>37697</v>
      </c>
    </row>
    <row r="1396" spans="1:6" x14ac:dyDescent="0.25">
      <c r="A1396">
        <v>2018</v>
      </c>
      <c r="B1396" t="s">
        <v>60</v>
      </c>
      <c r="C1396" t="s">
        <v>3</v>
      </c>
      <c r="D1396" s="1">
        <v>5345</v>
      </c>
      <c r="E1396" s="1">
        <v>24966</v>
      </c>
      <c r="F1396" s="2">
        <v>34843</v>
      </c>
    </row>
    <row r="1397" spans="1:6" x14ac:dyDescent="0.25">
      <c r="A1397">
        <v>2018</v>
      </c>
      <c r="B1397" t="s">
        <v>60</v>
      </c>
      <c r="C1397" t="s">
        <v>4</v>
      </c>
      <c r="D1397" s="1">
        <v>95398</v>
      </c>
      <c r="E1397" s="1">
        <v>541832</v>
      </c>
      <c r="F1397" s="2">
        <v>40668</v>
      </c>
    </row>
    <row r="1398" spans="1:6" x14ac:dyDescent="0.25">
      <c r="A1398">
        <v>2018</v>
      </c>
      <c r="B1398" t="s">
        <v>60</v>
      </c>
      <c r="C1398" t="s">
        <v>5</v>
      </c>
      <c r="D1398" s="1">
        <v>16405</v>
      </c>
      <c r="E1398" s="1">
        <v>82040</v>
      </c>
      <c r="F1398" s="2">
        <v>40987</v>
      </c>
    </row>
    <row r="1399" spans="1:6" x14ac:dyDescent="0.25">
      <c r="A1399">
        <v>2018</v>
      </c>
      <c r="B1399" t="s">
        <v>60</v>
      </c>
      <c r="C1399" t="s">
        <v>6</v>
      </c>
      <c r="D1399" s="1">
        <v>17517</v>
      </c>
      <c r="E1399" s="1">
        <v>66913</v>
      </c>
      <c r="F1399" s="2">
        <v>33615</v>
      </c>
    </row>
    <row r="1400" spans="1:6" x14ac:dyDescent="0.25">
      <c r="A1400">
        <v>2018</v>
      </c>
      <c r="B1400" t="s">
        <v>60</v>
      </c>
      <c r="C1400" t="s">
        <v>7</v>
      </c>
      <c r="D1400" s="1">
        <v>2054</v>
      </c>
      <c r="E1400" s="1">
        <v>11930</v>
      </c>
      <c r="F1400" s="2">
        <v>34259</v>
      </c>
    </row>
    <row r="1401" spans="1:6" x14ac:dyDescent="0.25">
      <c r="A1401">
        <v>2018</v>
      </c>
      <c r="B1401" t="s">
        <v>60</v>
      </c>
      <c r="C1401" t="s">
        <v>8</v>
      </c>
      <c r="D1401" s="1">
        <v>55687</v>
      </c>
      <c r="E1401" s="1">
        <v>279269</v>
      </c>
      <c r="F1401" s="2">
        <v>36402</v>
      </c>
    </row>
    <row r="1402" spans="1:6" x14ac:dyDescent="0.25">
      <c r="A1402">
        <v>2018</v>
      </c>
      <c r="B1402" t="s">
        <v>60</v>
      </c>
      <c r="C1402" t="s">
        <v>9</v>
      </c>
      <c r="D1402" s="1">
        <v>17999</v>
      </c>
      <c r="E1402" s="1">
        <v>108656</v>
      </c>
      <c r="F1402" s="2">
        <v>36377</v>
      </c>
    </row>
    <row r="1403" spans="1:6" x14ac:dyDescent="0.25">
      <c r="A1403">
        <v>2018</v>
      </c>
      <c r="B1403" t="s">
        <v>60</v>
      </c>
      <c r="C1403" t="s">
        <v>10</v>
      </c>
      <c r="D1403" s="1">
        <v>3985</v>
      </c>
      <c r="E1403" s="1">
        <v>18622</v>
      </c>
      <c r="F1403" s="2">
        <v>31284</v>
      </c>
    </row>
    <row r="1404" spans="1:6" x14ac:dyDescent="0.25">
      <c r="A1404">
        <v>2018</v>
      </c>
      <c r="B1404" t="s">
        <v>60</v>
      </c>
      <c r="C1404" t="s">
        <v>11</v>
      </c>
      <c r="D1404" s="1">
        <v>39449</v>
      </c>
      <c r="E1404" s="1">
        <v>208655</v>
      </c>
      <c r="F1404" s="2">
        <v>42392</v>
      </c>
    </row>
    <row r="1405" spans="1:6" x14ac:dyDescent="0.25">
      <c r="A1405">
        <v>2018</v>
      </c>
      <c r="B1405" t="s">
        <v>60</v>
      </c>
      <c r="C1405" t="s">
        <v>12</v>
      </c>
      <c r="D1405" s="1">
        <v>13122</v>
      </c>
      <c r="E1405" s="1">
        <v>87997</v>
      </c>
      <c r="F1405" s="2">
        <v>32900</v>
      </c>
    </row>
    <row r="1406" spans="1:6" x14ac:dyDescent="0.25">
      <c r="A1406">
        <v>2018</v>
      </c>
      <c r="B1406" t="s">
        <v>60</v>
      </c>
      <c r="C1406" t="s">
        <v>13</v>
      </c>
      <c r="D1406" s="1">
        <v>8669</v>
      </c>
      <c r="E1406" s="1">
        <v>42339</v>
      </c>
      <c r="F1406" s="2">
        <v>34313</v>
      </c>
    </row>
    <row r="1407" spans="1:6" x14ac:dyDescent="0.25">
      <c r="A1407">
        <v>2018</v>
      </c>
      <c r="B1407" t="s">
        <v>60</v>
      </c>
      <c r="C1407" t="s">
        <v>14</v>
      </c>
      <c r="D1407" s="1">
        <v>5983</v>
      </c>
      <c r="E1407" s="1">
        <v>33757</v>
      </c>
      <c r="F1407" s="2">
        <v>34478</v>
      </c>
    </row>
    <row r="1408" spans="1:6" x14ac:dyDescent="0.25">
      <c r="A1408">
        <v>2018</v>
      </c>
      <c r="B1408" t="s">
        <v>60</v>
      </c>
      <c r="C1408" t="s">
        <v>15</v>
      </c>
      <c r="D1408" s="1">
        <v>10697</v>
      </c>
      <c r="E1408" s="1">
        <v>46476</v>
      </c>
      <c r="F1408" s="2">
        <v>33616</v>
      </c>
    </row>
    <row r="1409" spans="1:6" x14ac:dyDescent="0.25">
      <c r="A1409">
        <v>2018</v>
      </c>
      <c r="B1409" t="s">
        <v>60</v>
      </c>
      <c r="C1409" t="s">
        <v>16</v>
      </c>
      <c r="D1409" s="1">
        <v>9230</v>
      </c>
      <c r="E1409" s="1">
        <v>45904</v>
      </c>
      <c r="F1409" s="2">
        <v>37854</v>
      </c>
    </row>
    <row r="1410" spans="1:6" x14ac:dyDescent="0.25">
      <c r="A1410">
        <v>2018</v>
      </c>
      <c r="B1410" t="s">
        <v>60</v>
      </c>
      <c r="C1410" t="s">
        <v>17</v>
      </c>
      <c r="D1410" s="1">
        <v>3832</v>
      </c>
      <c r="E1410" s="1">
        <v>18021</v>
      </c>
      <c r="F1410" s="2">
        <v>33967</v>
      </c>
    </row>
    <row r="1411" spans="1:6" x14ac:dyDescent="0.25">
      <c r="A1411">
        <v>2018</v>
      </c>
      <c r="B1411" t="s">
        <v>60</v>
      </c>
      <c r="C1411" t="s">
        <v>18</v>
      </c>
      <c r="D1411" s="1">
        <v>19354</v>
      </c>
      <c r="E1411" s="1">
        <v>91803</v>
      </c>
      <c r="F1411" s="2">
        <v>43222</v>
      </c>
    </row>
    <row r="1412" spans="1:6" x14ac:dyDescent="0.25">
      <c r="A1412">
        <v>2018</v>
      </c>
      <c r="B1412" t="s">
        <v>60</v>
      </c>
      <c r="C1412" t="s">
        <v>19</v>
      </c>
      <c r="D1412" s="1">
        <v>21621</v>
      </c>
      <c r="E1412" s="1">
        <v>119963</v>
      </c>
      <c r="F1412" s="2">
        <v>38569</v>
      </c>
    </row>
    <row r="1413" spans="1:6" x14ac:dyDescent="0.25">
      <c r="A1413">
        <v>2018</v>
      </c>
      <c r="B1413" t="s">
        <v>60</v>
      </c>
      <c r="C1413" t="s">
        <v>20</v>
      </c>
      <c r="D1413" s="1">
        <v>31024</v>
      </c>
      <c r="E1413" s="1">
        <v>139968</v>
      </c>
      <c r="F1413" s="2">
        <v>33275</v>
      </c>
    </row>
    <row r="1414" spans="1:6" x14ac:dyDescent="0.25">
      <c r="A1414">
        <v>2018</v>
      </c>
      <c r="B1414" t="s">
        <v>60</v>
      </c>
      <c r="C1414" t="s">
        <v>21</v>
      </c>
      <c r="D1414" s="1">
        <v>17099</v>
      </c>
      <c r="E1414" s="1">
        <v>90096</v>
      </c>
      <c r="F1414" s="2">
        <v>34221</v>
      </c>
    </row>
    <row r="1415" spans="1:6" x14ac:dyDescent="0.25">
      <c r="A1415">
        <v>2018</v>
      </c>
      <c r="B1415" t="s">
        <v>60</v>
      </c>
      <c r="C1415" t="s">
        <v>22</v>
      </c>
      <c r="D1415" s="1">
        <v>4645</v>
      </c>
      <c r="E1415" s="1">
        <v>21202</v>
      </c>
      <c r="F1415" s="2">
        <v>34491</v>
      </c>
    </row>
    <row r="1416" spans="1:6" x14ac:dyDescent="0.25">
      <c r="A1416">
        <v>2018</v>
      </c>
      <c r="B1416" t="s">
        <v>60</v>
      </c>
      <c r="C1416" t="s">
        <v>23</v>
      </c>
      <c r="D1416" s="1">
        <v>12996</v>
      </c>
      <c r="E1416" s="1">
        <v>75350</v>
      </c>
      <c r="F1416" s="2">
        <v>34075</v>
      </c>
    </row>
    <row r="1417" spans="1:6" x14ac:dyDescent="0.25">
      <c r="A1417">
        <v>2018</v>
      </c>
      <c r="B1417" t="s">
        <v>60</v>
      </c>
      <c r="C1417" t="s">
        <v>24</v>
      </c>
      <c r="D1417" s="1">
        <v>4285</v>
      </c>
      <c r="E1417" s="1">
        <v>18301</v>
      </c>
      <c r="F1417" s="2">
        <v>30293</v>
      </c>
    </row>
    <row r="1418" spans="1:6" x14ac:dyDescent="0.25">
      <c r="A1418">
        <v>2018</v>
      </c>
      <c r="B1418" t="s">
        <v>60</v>
      </c>
      <c r="C1418" t="s">
        <v>25</v>
      </c>
      <c r="D1418" s="1">
        <v>4614</v>
      </c>
      <c r="E1418" s="1">
        <v>25333</v>
      </c>
      <c r="F1418" s="2">
        <v>32212</v>
      </c>
    </row>
    <row r="1419" spans="1:6" x14ac:dyDescent="0.25">
      <c r="A1419">
        <v>2018</v>
      </c>
      <c r="B1419" t="s">
        <v>60</v>
      </c>
      <c r="C1419" t="s">
        <v>26</v>
      </c>
      <c r="D1419" s="1">
        <v>5080</v>
      </c>
      <c r="E1419" s="1">
        <v>34964</v>
      </c>
      <c r="F1419" s="2">
        <v>37484</v>
      </c>
    </row>
    <row r="1420" spans="1:6" x14ac:dyDescent="0.25">
      <c r="A1420">
        <v>2018</v>
      </c>
      <c r="B1420" t="s">
        <v>60</v>
      </c>
      <c r="C1420" t="s">
        <v>27</v>
      </c>
      <c r="D1420" s="1">
        <v>3934</v>
      </c>
      <c r="E1420" s="1">
        <v>20991</v>
      </c>
      <c r="F1420" s="2">
        <v>37927</v>
      </c>
    </row>
    <row r="1421" spans="1:6" x14ac:dyDescent="0.25">
      <c r="A1421">
        <v>2018</v>
      </c>
      <c r="B1421" t="s">
        <v>60</v>
      </c>
      <c r="C1421" t="s">
        <v>28</v>
      </c>
      <c r="D1421" s="1">
        <v>24105</v>
      </c>
      <c r="E1421" s="1">
        <v>135824</v>
      </c>
      <c r="F1421" s="2">
        <v>36518</v>
      </c>
    </row>
    <row r="1422" spans="1:6" x14ac:dyDescent="0.25">
      <c r="A1422">
        <v>2018</v>
      </c>
      <c r="B1422" t="s">
        <v>60</v>
      </c>
      <c r="C1422" t="s">
        <v>29</v>
      </c>
      <c r="D1422" s="1">
        <v>4073</v>
      </c>
      <c r="E1422" s="1">
        <v>20964</v>
      </c>
      <c r="F1422" s="2">
        <v>34365</v>
      </c>
    </row>
    <row r="1423" spans="1:6" x14ac:dyDescent="0.25">
      <c r="A1423">
        <v>2018</v>
      </c>
      <c r="B1423" t="s">
        <v>60</v>
      </c>
      <c r="C1423" t="s">
        <v>30</v>
      </c>
      <c r="D1423" s="1">
        <v>73275</v>
      </c>
      <c r="E1423" s="1">
        <v>370268</v>
      </c>
      <c r="F1423" s="2">
        <v>41910</v>
      </c>
    </row>
    <row r="1424" spans="1:6" x14ac:dyDescent="0.25">
      <c r="A1424">
        <v>2018</v>
      </c>
      <c r="B1424" t="s">
        <v>60</v>
      </c>
      <c r="C1424" t="s">
        <v>31</v>
      </c>
      <c r="D1424" s="1">
        <v>23444</v>
      </c>
      <c r="E1424" s="1">
        <v>109986</v>
      </c>
      <c r="F1424" s="2">
        <v>35102</v>
      </c>
    </row>
    <row r="1425" spans="1:6" x14ac:dyDescent="0.25">
      <c r="A1425">
        <v>2018</v>
      </c>
      <c r="B1425" t="s">
        <v>60</v>
      </c>
      <c r="C1425" t="s">
        <v>32</v>
      </c>
      <c r="D1425" s="1">
        <v>2051</v>
      </c>
      <c r="E1425" s="1">
        <v>11307</v>
      </c>
      <c r="F1425" s="2">
        <v>37216</v>
      </c>
    </row>
    <row r="1426" spans="1:6" x14ac:dyDescent="0.25">
      <c r="A1426">
        <v>2018</v>
      </c>
      <c r="B1426" t="s">
        <v>60</v>
      </c>
      <c r="C1426" t="s">
        <v>33</v>
      </c>
      <c r="D1426" s="1">
        <v>23542</v>
      </c>
      <c r="E1426" s="1">
        <v>156685</v>
      </c>
      <c r="F1426" s="2">
        <v>34001</v>
      </c>
    </row>
    <row r="1427" spans="1:6" x14ac:dyDescent="0.25">
      <c r="A1427">
        <v>2018</v>
      </c>
      <c r="B1427" t="s">
        <v>60</v>
      </c>
      <c r="C1427" t="s">
        <v>34</v>
      </c>
      <c r="D1427" s="1">
        <v>6640</v>
      </c>
      <c r="E1427" s="1">
        <v>36417</v>
      </c>
      <c r="F1427" s="2">
        <v>35221</v>
      </c>
    </row>
    <row r="1428" spans="1:6" x14ac:dyDescent="0.25">
      <c r="A1428">
        <v>2018</v>
      </c>
      <c r="B1428" t="s">
        <v>60</v>
      </c>
      <c r="C1428" t="s">
        <v>35</v>
      </c>
      <c r="D1428" s="1">
        <v>24302</v>
      </c>
      <c r="E1428" s="1">
        <v>77296</v>
      </c>
      <c r="F1428" s="2">
        <v>34031</v>
      </c>
    </row>
    <row r="1429" spans="1:6" x14ac:dyDescent="0.25">
      <c r="A1429">
        <v>2018</v>
      </c>
      <c r="B1429" t="s">
        <v>60</v>
      </c>
      <c r="C1429" t="s">
        <v>36</v>
      </c>
      <c r="D1429" s="1">
        <v>32530</v>
      </c>
      <c r="E1429" s="1">
        <v>199883</v>
      </c>
      <c r="F1429" s="2">
        <v>33988</v>
      </c>
    </row>
    <row r="1430" spans="1:6" x14ac:dyDescent="0.25">
      <c r="A1430">
        <v>2018</v>
      </c>
      <c r="B1430" t="s">
        <v>60</v>
      </c>
      <c r="C1430" t="s">
        <v>37</v>
      </c>
      <c r="D1430" s="1">
        <v>3459</v>
      </c>
      <c r="E1430" s="1">
        <v>17990</v>
      </c>
      <c r="F1430" s="2">
        <v>33322</v>
      </c>
    </row>
    <row r="1431" spans="1:6" x14ac:dyDescent="0.25">
      <c r="A1431">
        <v>2018</v>
      </c>
      <c r="B1431" t="s">
        <v>60</v>
      </c>
      <c r="C1431" t="s">
        <v>38</v>
      </c>
      <c r="D1431" s="1">
        <v>11329</v>
      </c>
      <c r="E1431" s="1">
        <v>53632</v>
      </c>
      <c r="F1431" s="2">
        <v>32985</v>
      </c>
    </row>
    <row r="1432" spans="1:6" x14ac:dyDescent="0.25">
      <c r="A1432">
        <v>2018</v>
      </c>
      <c r="B1432" t="s">
        <v>60</v>
      </c>
      <c r="C1432" t="s">
        <v>39</v>
      </c>
      <c r="D1432" s="1">
        <v>2201</v>
      </c>
      <c r="E1432" s="1">
        <v>11149</v>
      </c>
      <c r="F1432" s="2">
        <v>32874</v>
      </c>
    </row>
    <row r="1433" spans="1:6" x14ac:dyDescent="0.25">
      <c r="A1433">
        <v>2018</v>
      </c>
      <c r="B1433" t="s">
        <v>60</v>
      </c>
      <c r="C1433" t="s">
        <v>40</v>
      </c>
      <c r="D1433" s="1">
        <v>15494</v>
      </c>
      <c r="E1433" s="1">
        <v>78706</v>
      </c>
      <c r="F1433" s="2">
        <v>35137</v>
      </c>
    </row>
    <row r="1434" spans="1:6" x14ac:dyDescent="0.25">
      <c r="A1434">
        <v>2018</v>
      </c>
      <c r="B1434" t="s">
        <v>60</v>
      </c>
      <c r="C1434" t="s">
        <v>41</v>
      </c>
      <c r="D1434" s="1">
        <v>56598</v>
      </c>
      <c r="E1434" s="1">
        <v>334126</v>
      </c>
      <c r="F1434" s="2">
        <v>39429</v>
      </c>
    </row>
    <row r="1435" spans="1:6" x14ac:dyDescent="0.25">
      <c r="A1435">
        <v>2018</v>
      </c>
      <c r="B1435" t="s">
        <v>60</v>
      </c>
      <c r="C1435" t="s">
        <v>42</v>
      </c>
      <c r="D1435" s="1">
        <v>6320</v>
      </c>
      <c r="E1435" s="1">
        <v>36120</v>
      </c>
      <c r="F1435" s="2">
        <v>35627</v>
      </c>
    </row>
    <row r="1436" spans="1:6" x14ac:dyDescent="0.25">
      <c r="A1436">
        <v>2018</v>
      </c>
      <c r="B1436" t="s">
        <v>60</v>
      </c>
      <c r="C1436" t="s">
        <v>43</v>
      </c>
      <c r="D1436" s="1">
        <v>1954</v>
      </c>
      <c r="E1436" s="1">
        <v>8748</v>
      </c>
      <c r="F1436" s="2">
        <v>36288</v>
      </c>
    </row>
    <row r="1437" spans="1:6" x14ac:dyDescent="0.25">
      <c r="A1437">
        <v>2018</v>
      </c>
      <c r="B1437" t="s">
        <v>60</v>
      </c>
      <c r="C1437" t="s">
        <v>44</v>
      </c>
      <c r="D1437" s="1">
        <v>36204</v>
      </c>
      <c r="E1437" s="1">
        <v>145640</v>
      </c>
      <c r="F1437" s="2">
        <v>42804</v>
      </c>
    </row>
    <row r="1438" spans="1:6" x14ac:dyDescent="0.25">
      <c r="A1438">
        <v>2018</v>
      </c>
      <c r="B1438" t="s">
        <v>60</v>
      </c>
      <c r="C1438" t="s">
        <v>45</v>
      </c>
      <c r="D1438" s="1">
        <v>19893</v>
      </c>
      <c r="E1438" s="1">
        <v>99054</v>
      </c>
      <c r="F1438" s="2">
        <v>40310</v>
      </c>
    </row>
    <row r="1439" spans="1:6" x14ac:dyDescent="0.25">
      <c r="A1439">
        <v>2018</v>
      </c>
      <c r="B1439" t="s">
        <v>60</v>
      </c>
      <c r="C1439" t="s">
        <v>46</v>
      </c>
      <c r="D1439" s="1">
        <v>5536</v>
      </c>
      <c r="E1439" s="1">
        <v>19873</v>
      </c>
      <c r="F1439" s="2">
        <v>31425</v>
      </c>
    </row>
    <row r="1440" spans="1:6" x14ac:dyDescent="0.25">
      <c r="A1440">
        <v>2018</v>
      </c>
      <c r="B1440" t="s">
        <v>60</v>
      </c>
      <c r="C1440" t="s">
        <v>47</v>
      </c>
      <c r="D1440" s="1">
        <v>14009</v>
      </c>
      <c r="E1440" s="1">
        <v>84183</v>
      </c>
      <c r="F1440" s="2">
        <v>30593</v>
      </c>
    </row>
    <row r="1441" spans="1:6" x14ac:dyDescent="0.25">
      <c r="A1441">
        <v>2018</v>
      </c>
      <c r="B1441" t="s">
        <v>60</v>
      </c>
      <c r="C1441" t="s">
        <v>48</v>
      </c>
      <c r="D1441" s="1">
        <v>1664</v>
      </c>
      <c r="E1441" s="1">
        <v>7261</v>
      </c>
      <c r="F1441" s="2">
        <v>37155</v>
      </c>
    </row>
    <row r="1442" spans="1:6" x14ac:dyDescent="0.25">
      <c r="A1442">
        <v>2017</v>
      </c>
      <c r="B1442" t="s">
        <v>55</v>
      </c>
      <c r="C1442" t="s">
        <v>1</v>
      </c>
      <c r="D1442" s="1">
        <v>1815</v>
      </c>
      <c r="E1442" s="1">
        <v>17999</v>
      </c>
      <c r="F1442" s="2">
        <v>52748</v>
      </c>
    </row>
    <row r="1443" spans="1:6" x14ac:dyDescent="0.25">
      <c r="A1443">
        <v>2017</v>
      </c>
      <c r="B1443" t="s">
        <v>55</v>
      </c>
      <c r="C1443" t="s">
        <v>2</v>
      </c>
      <c r="D1443" s="1">
        <v>1257</v>
      </c>
      <c r="E1443" s="1">
        <v>37216</v>
      </c>
      <c r="F1443" s="2">
        <v>47116</v>
      </c>
    </row>
    <row r="1444" spans="1:6" x14ac:dyDescent="0.25">
      <c r="A1444">
        <v>2017</v>
      </c>
      <c r="B1444" t="s">
        <v>55</v>
      </c>
      <c r="C1444" t="s">
        <v>3</v>
      </c>
      <c r="D1444" s="1">
        <v>2551</v>
      </c>
      <c r="E1444" s="1">
        <v>16476</v>
      </c>
      <c r="F1444" s="2">
        <v>46191</v>
      </c>
    </row>
    <row r="1445" spans="1:6" x14ac:dyDescent="0.25">
      <c r="A1445">
        <v>2017</v>
      </c>
      <c r="B1445" t="s">
        <v>55</v>
      </c>
      <c r="C1445" t="s">
        <v>4</v>
      </c>
      <c r="D1445" s="1">
        <v>17021</v>
      </c>
      <c r="E1445" s="1">
        <v>441460</v>
      </c>
      <c r="F1445" s="2">
        <v>37249</v>
      </c>
    </row>
    <row r="1446" spans="1:6" x14ac:dyDescent="0.25">
      <c r="A1446">
        <v>2017</v>
      </c>
      <c r="B1446" t="s">
        <v>55</v>
      </c>
      <c r="C1446" t="s">
        <v>5</v>
      </c>
      <c r="D1446" s="1">
        <v>3202</v>
      </c>
      <c r="E1446" s="1">
        <v>43394</v>
      </c>
      <c r="F1446" s="2">
        <v>84161</v>
      </c>
    </row>
    <row r="1447" spans="1:6" x14ac:dyDescent="0.25">
      <c r="A1447">
        <v>2017</v>
      </c>
      <c r="B1447" t="s">
        <v>55</v>
      </c>
      <c r="C1447" t="s">
        <v>6</v>
      </c>
      <c r="D1447">
        <v>433</v>
      </c>
      <c r="E1447" s="1">
        <v>5305</v>
      </c>
      <c r="F1447" s="2">
        <v>40017</v>
      </c>
    </row>
    <row r="1448" spans="1:6" x14ac:dyDescent="0.25">
      <c r="A1448">
        <v>2017</v>
      </c>
      <c r="B1448" t="s">
        <v>55</v>
      </c>
      <c r="C1448" t="s">
        <v>7</v>
      </c>
      <c r="D1448">
        <v>177</v>
      </c>
      <c r="E1448" s="1">
        <v>1538</v>
      </c>
      <c r="F1448" s="2">
        <v>39651</v>
      </c>
    </row>
    <row r="1449" spans="1:6" x14ac:dyDescent="0.25">
      <c r="A1449">
        <v>2017</v>
      </c>
      <c r="B1449" t="s">
        <v>55</v>
      </c>
      <c r="C1449" t="s">
        <v>8</v>
      </c>
      <c r="D1449" s="1">
        <v>5285</v>
      </c>
      <c r="E1449" s="1">
        <v>75471</v>
      </c>
      <c r="F1449" s="2">
        <v>32773</v>
      </c>
    </row>
    <row r="1450" spans="1:6" x14ac:dyDescent="0.25">
      <c r="A1450">
        <v>2017</v>
      </c>
      <c r="B1450" t="s">
        <v>55</v>
      </c>
      <c r="C1450" t="s">
        <v>9</v>
      </c>
      <c r="D1450" s="1">
        <v>2594</v>
      </c>
      <c r="E1450" s="1">
        <v>29299</v>
      </c>
      <c r="F1450" s="2">
        <v>41048</v>
      </c>
    </row>
    <row r="1451" spans="1:6" x14ac:dyDescent="0.25">
      <c r="A1451">
        <v>2017</v>
      </c>
      <c r="B1451" t="s">
        <v>55</v>
      </c>
      <c r="C1451" t="s">
        <v>10</v>
      </c>
      <c r="D1451" s="1">
        <v>2448</v>
      </c>
      <c r="E1451" s="1">
        <v>26790</v>
      </c>
      <c r="F1451" s="2">
        <v>38417</v>
      </c>
    </row>
    <row r="1452" spans="1:6" x14ac:dyDescent="0.25">
      <c r="A1452">
        <v>2017</v>
      </c>
      <c r="B1452" t="s">
        <v>55</v>
      </c>
      <c r="C1452" t="s">
        <v>11</v>
      </c>
      <c r="D1452" s="1">
        <v>2730</v>
      </c>
      <c r="E1452" s="1">
        <v>26665</v>
      </c>
      <c r="F1452" s="2">
        <v>48549</v>
      </c>
    </row>
    <row r="1453" spans="1:6" x14ac:dyDescent="0.25">
      <c r="A1453">
        <v>2017</v>
      </c>
      <c r="B1453" t="s">
        <v>55</v>
      </c>
      <c r="C1453" t="s">
        <v>12</v>
      </c>
      <c r="D1453" s="1">
        <v>2183</v>
      </c>
      <c r="E1453" s="1">
        <v>21072</v>
      </c>
      <c r="F1453" s="2">
        <v>47269</v>
      </c>
    </row>
    <row r="1454" spans="1:6" x14ac:dyDescent="0.25">
      <c r="A1454">
        <v>2017</v>
      </c>
      <c r="B1454" t="s">
        <v>55</v>
      </c>
      <c r="C1454" t="s">
        <v>13</v>
      </c>
      <c r="D1454" s="1">
        <v>2766</v>
      </c>
      <c r="E1454" s="1">
        <v>22503</v>
      </c>
      <c r="F1454" s="2">
        <v>41388</v>
      </c>
    </row>
    <row r="1455" spans="1:6" x14ac:dyDescent="0.25">
      <c r="A1455">
        <v>2017</v>
      </c>
      <c r="B1455" t="s">
        <v>55</v>
      </c>
      <c r="C1455" t="s">
        <v>14</v>
      </c>
      <c r="D1455" s="1">
        <v>2686</v>
      </c>
      <c r="E1455" s="1">
        <v>19024</v>
      </c>
      <c r="F1455" s="2">
        <v>45105</v>
      </c>
    </row>
    <row r="1456" spans="1:6" x14ac:dyDescent="0.25">
      <c r="A1456">
        <v>2017</v>
      </c>
      <c r="B1456" t="s">
        <v>55</v>
      </c>
      <c r="C1456" t="s">
        <v>15</v>
      </c>
      <c r="D1456" s="1">
        <v>1584</v>
      </c>
      <c r="E1456" s="1">
        <v>18306</v>
      </c>
      <c r="F1456" s="2">
        <v>54943</v>
      </c>
    </row>
    <row r="1457" spans="1:6" x14ac:dyDescent="0.25">
      <c r="A1457">
        <v>2017</v>
      </c>
      <c r="B1457" t="s">
        <v>55</v>
      </c>
      <c r="C1457" t="s">
        <v>16</v>
      </c>
      <c r="D1457" s="1">
        <v>3082</v>
      </c>
      <c r="E1457" s="1">
        <v>42251</v>
      </c>
      <c r="F1457" s="2">
        <v>80128</v>
      </c>
    </row>
    <row r="1458" spans="1:6" x14ac:dyDescent="0.25">
      <c r="A1458">
        <v>2017</v>
      </c>
      <c r="B1458" t="s">
        <v>55</v>
      </c>
      <c r="C1458" t="s">
        <v>17</v>
      </c>
      <c r="D1458" s="1">
        <v>1370</v>
      </c>
      <c r="E1458" s="1">
        <v>6817</v>
      </c>
      <c r="F1458" s="2">
        <v>40118</v>
      </c>
    </row>
    <row r="1459" spans="1:6" x14ac:dyDescent="0.25">
      <c r="A1459">
        <v>2017</v>
      </c>
      <c r="B1459" t="s">
        <v>55</v>
      </c>
      <c r="C1459" t="s">
        <v>18</v>
      </c>
      <c r="D1459">
        <v>723</v>
      </c>
      <c r="E1459" s="1">
        <v>6432</v>
      </c>
      <c r="F1459" s="2">
        <v>42478</v>
      </c>
    </row>
    <row r="1460" spans="1:6" x14ac:dyDescent="0.25">
      <c r="A1460">
        <v>2017</v>
      </c>
      <c r="B1460" t="s">
        <v>55</v>
      </c>
      <c r="C1460" t="s">
        <v>19</v>
      </c>
      <c r="D1460" s="1">
        <v>1030</v>
      </c>
      <c r="E1460" s="1">
        <v>9290</v>
      </c>
      <c r="F1460" s="2">
        <v>61286</v>
      </c>
    </row>
    <row r="1461" spans="1:6" x14ac:dyDescent="0.25">
      <c r="A1461">
        <v>2017</v>
      </c>
      <c r="B1461" t="s">
        <v>55</v>
      </c>
      <c r="C1461" t="s">
        <v>20</v>
      </c>
      <c r="D1461" s="1">
        <v>3203</v>
      </c>
      <c r="E1461" s="1">
        <v>36801</v>
      </c>
      <c r="F1461" s="2">
        <v>38160</v>
      </c>
    </row>
    <row r="1462" spans="1:6" x14ac:dyDescent="0.25">
      <c r="A1462">
        <v>2017</v>
      </c>
      <c r="B1462" t="s">
        <v>55</v>
      </c>
      <c r="C1462" t="s">
        <v>21</v>
      </c>
      <c r="D1462" s="1">
        <v>2992</v>
      </c>
      <c r="E1462" s="1">
        <v>27804</v>
      </c>
      <c r="F1462" s="2">
        <v>47599</v>
      </c>
    </row>
    <row r="1463" spans="1:6" x14ac:dyDescent="0.25">
      <c r="A1463">
        <v>2017</v>
      </c>
      <c r="B1463" t="s">
        <v>55</v>
      </c>
      <c r="C1463" t="s">
        <v>22</v>
      </c>
      <c r="D1463" s="1">
        <v>2168</v>
      </c>
      <c r="E1463" s="1">
        <v>16360</v>
      </c>
      <c r="F1463" s="2">
        <v>45681</v>
      </c>
    </row>
    <row r="1464" spans="1:6" x14ac:dyDescent="0.25">
      <c r="A1464">
        <v>2017</v>
      </c>
      <c r="B1464" t="s">
        <v>55</v>
      </c>
      <c r="C1464" t="s">
        <v>23</v>
      </c>
      <c r="D1464" s="1">
        <v>1950</v>
      </c>
      <c r="E1464" s="1">
        <v>16365</v>
      </c>
      <c r="F1464" s="2">
        <v>42894</v>
      </c>
    </row>
    <row r="1465" spans="1:6" x14ac:dyDescent="0.25">
      <c r="A1465">
        <v>2017</v>
      </c>
      <c r="B1465" t="s">
        <v>55</v>
      </c>
      <c r="C1465" t="s">
        <v>24</v>
      </c>
      <c r="D1465" s="1">
        <v>1753</v>
      </c>
      <c r="E1465" s="1">
        <v>11976</v>
      </c>
      <c r="F1465" s="2">
        <v>64781</v>
      </c>
    </row>
    <row r="1466" spans="1:6" x14ac:dyDescent="0.25">
      <c r="A1466">
        <v>2017</v>
      </c>
      <c r="B1466" t="s">
        <v>55</v>
      </c>
      <c r="C1466" t="s">
        <v>25</v>
      </c>
      <c r="D1466" s="1">
        <v>2337</v>
      </c>
      <c r="E1466" s="1">
        <v>15500</v>
      </c>
      <c r="F1466" s="2">
        <v>39544</v>
      </c>
    </row>
    <row r="1467" spans="1:6" x14ac:dyDescent="0.25">
      <c r="A1467">
        <v>2017</v>
      </c>
      <c r="B1467" t="s">
        <v>55</v>
      </c>
      <c r="C1467" t="s">
        <v>26</v>
      </c>
      <c r="D1467">
        <v>612</v>
      </c>
      <c r="E1467" s="1">
        <v>17902</v>
      </c>
      <c r="F1467" s="2">
        <v>82999</v>
      </c>
    </row>
    <row r="1468" spans="1:6" x14ac:dyDescent="0.25">
      <c r="A1468">
        <v>2017</v>
      </c>
      <c r="B1468" t="s">
        <v>55</v>
      </c>
      <c r="C1468" t="s">
        <v>27</v>
      </c>
      <c r="D1468">
        <v>350</v>
      </c>
      <c r="E1468" s="1">
        <v>2556</v>
      </c>
      <c r="F1468" s="2">
        <v>41972</v>
      </c>
    </row>
    <row r="1469" spans="1:6" x14ac:dyDescent="0.25">
      <c r="A1469">
        <v>2017</v>
      </c>
      <c r="B1469" t="s">
        <v>55</v>
      </c>
      <c r="C1469" t="s">
        <v>28</v>
      </c>
      <c r="D1469" s="1">
        <v>1018</v>
      </c>
      <c r="E1469" s="1">
        <v>12853</v>
      </c>
      <c r="F1469" s="2">
        <v>37279</v>
      </c>
    </row>
    <row r="1470" spans="1:6" x14ac:dyDescent="0.25">
      <c r="A1470">
        <v>2017</v>
      </c>
      <c r="B1470" t="s">
        <v>55</v>
      </c>
      <c r="C1470" t="s">
        <v>29</v>
      </c>
      <c r="D1470" s="1">
        <v>1991</v>
      </c>
      <c r="E1470" s="1">
        <v>32275</v>
      </c>
      <c r="F1470" s="2">
        <v>59989</v>
      </c>
    </row>
    <row r="1471" spans="1:6" x14ac:dyDescent="0.25">
      <c r="A1471">
        <v>2017</v>
      </c>
      <c r="B1471" t="s">
        <v>55</v>
      </c>
      <c r="C1471" t="s">
        <v>30</v>
      </c>
      <c r="D1471" s="1">
        <v>3023</v>
      </c>
      <c r="E1471" s="1">
        <v>30834</v>
      </c>
      <c r="F1471" s="2">
        <v>39487</v>
      </c>
    </row>
    <row r="1472" spans="1:6" x14ac:dyDescent="0.25">
      <c r="A1472">
        <v>2017</v>
      </c>
      <c r="B1472" t="s">
        <v>55</v>
      </c>
      <c r="C1472" t="s">
        <v>31</v>
      </c>
      <c r="D1472" s="1">
        <v>3306</v>
      </c>
      <c r="E1472" s="1">
        <v>30981</v>
      </c>
      <c r="F1472" s="2">
        <v>37636</v>
      </c>
    </row>
    <row r="1473" spans="1:6" x14ac:dyDescent="0.25">
      <c r="A1473">
        <v>2017</v>
      </c>
      <c r="B1473" t="s">
        <v>55</v>
      </c>
      <c r="C1473" t="s">
        <v>32</v>
      </c>
      <c r="D1473" s="1">
        <v>1771</v>
      </c>
      <c r="E1473" s="1">
        <v>22394</v>
      </c>
      <c r="F1473" s="2">
        <v>89578</v>
      </c>
    </row>
    <row r="1474" spans="1:6" x14ac:dyDescent="0.25">
      <c r="A1474">
        <v>2017</v>
      </c>
      <c r="B1474" t="s">
        <v>55</v>
      </c>
      <c r="C1474" t="s">
        <v>33</v>
      </c>
      <c r="D1474" s="1">
        <v>2483</v>
      </c>
      <c r="E1474" s="1">
        <v>27504</v>
      </c>
      <c r="F1474" s="2">
        <v>48849</v>
      </c>
    </row>
    <row r="1475" spans="1:6" x14ac:dyDescent="0.25">
      <c r="A1475">
        <v>2017</v>
      </c>
      <c r="B1475" t="s">
        <v>55</v>
      </c>
      <c r="C1475" t="s">
        <v>34</v>
      </c>
      <c r="D1475" s="1">
        <v>4333</v>
      </c>
      <c r="E1475" s="1">
        <v>58716</v>
      </c>
      <c r="F1475" s="2">
        <v>88899</v>
      </c>
    </row>
    <row r="1476" spans="1:6" x14ac:dyDescent="0.25">
      <c r="A1476">
        <v>2017</v>
      </c>
      <c r="B1476" t="s">
        <v>55</v>
      </c>
      <c r="C1476" t="s">
        <v>35</v>
      </c>
      <c r="D1476" s="1">
        <v>4453</v>
      </c>
      <c r="E1476" s="1">
        <v>52439</v>
      </c>
      <c r="F1476" s="2">
        <v>35362</v>
      </c>
    </row>
    <row r="1477" spans="1:6" x14ac:dyDescent="0.25">
      <c r="A1477">
        <v>2017</v>
      </c>
      <c r="B1477" t="s">
        <v>55</v>
      </c>
      <c r="C1477" t="s">
        <v>36</v>
      </c>
      <c r="D1477" s="1">
        <v>3498</v>
      </c>
      <c r="E1477" s="1">
        <v>50197</v>
      </c>
      <c r="F1477" s="2">
        <v>63021</v>
      </c>
    </row>
    <row r="1478" spans="1:6" x14ac:dyDescent="0.25">
      <c r="A1478">
        <v>2017</v>
      </c>
      <c r="B1478" t="s">
        <v>55</v>
      </c>
      <c r="C1478" t="s">
        <v>38</v>
      </c>
      <c r="D1478" s="1">
        <v>1230</v>
      </c>
      <c r="E1478" s="1">
        <v>12432</v>
      </c>
      <c r="F1478" s="2">
        <v>40520</v>
      </c>
    </row>
    <row r="1479" spans="1:6" x14ac:dyDescent="0.25">
      <c r="A1479">
        <v>2017</v>
      </c>
      <c r="B1479" t="s">
        <v>55</v>
      </c>
      <c r="C1479" t="s">
        <v>39</v>
      </c>
      <c r="D1479" s="1">
        <v>1026</v>
      </c>
      <c r="E1479" s="1">
        <v>6646</v>
      </c>
      <c r="F1479" s="2">
        <v>41459</v>
      </c>
    </row>
    <row r="1480" spans="1:6" x14ac:dyDescent="0.25">
      <c r="A1480">
        <v>2017</v>
      </c>
      <c r="B1480" t="s">
        <v>55</v>
      </c>
      <c r="C1480" t="s">
        <v>40</v>
      </c>
      <c r="D1480" s="1">
        <v>1071</v>
      </c>
      <c r="E1480" s="1">
        <v>10750</v>
      </c>
      <c r="F1480" s="2">
        <v>43908</v>
      </c>
    </row>
    <row r="1481" spans="1:6" x14ac:dyDescent="0.25">
      <c r="A1481">
        <v>2017</v>
      </c>
      <c r="B1481" t="s">
        <v>55</v>
      </c>
      <c r="C1481" t="s">
        <v>41</v>
      </c>
      <c r="D1481" s="1">
        <v>19580</v>
      </c>
      <c r="E1481" s="1">
        <v>281110</v>
      </c>
      <c r="F1481" s="2">
        <v>107415</v>
      </c>
    </row>
    <row r="1482" spans="1:6" x14ac:dyDescent="0.25">
      <c r="A1482">
        <v>2017</v>
      </c>
      <c r="B1482" t="s">
        <v>55</v>
      </c>
      <c r="C1482" t="s">
        <v>42</v>
      </c>
      <c r="D1482" s="1">
        <v>1034</v>
      </c>
      <c r="E1482" s="1">
        <v>14217</v>
      </c>
      <c r="F1482" s="2">
        <v>59120</v>
      </c>
    </row>
    <row r="1483" spans="1:6" x14ac:dyDescent="0.25">
      <c r="A1483">
        <v>2017</v>
      </c>
      <c r="B1483" t="s">
        <v>55</v>
      </c>
      <c r="C1483" t="s">
        <v>43</v>
      </c>
      <c r="D1483">
        <v>551</v>
      </c>
      <c r="E1483" s="1">
        <v>3901</v>
      </c>
      <c r="F1483" s="2">
        <v>37223</v>
      </c>
    </row>
    <row r="1484" spans="1:6" x14ac:dyDescent="0.25">
      <c r="A1484">
        <v>2017</v>
      </c>
      <c r="B1484" t="s">
        <v>55</v>
      </c>
      <c r="C1484" t="s">
        <v>44</v>
      </c>
      <c r="D1484" s="1">
        <v>2061</v>
      </c>
      <c r="E1484" s="1">
        <v>19558</v>
      </c>
      <c r="F1484" s="2">
        <v>44371</v>
      </c>
    </row>
    <row r="1485" spans="1:6" x14ac:dyDescent="0.25">
      <c r="A1485">
        <v>2017</v>
      </c>
      <c r="B1485" t="s">
        <v>55</v>
      </c>
      <c r="C1485" t="s">
        <v>45</v>
      </c>
      <c r="D1485" s="1">
        <v>7493</v>
      </c>
      <c r="E1485" s="1">
        <v>107674</v>
      </c>
      <c r="F1485" s="2">
        <v>32082</v>
      </c>
    </row>
    <row r="1486" spans="1:6" x14ac:dyDescent="0.25">
      <c r="A1486">
        <v>2017</v>
      </c>
      <c r="B1486" t="s">
        <v>55</v>
      </c>
      <c r="C1486" t="s">
        <v>46</v>
      </c>
      <c r="D1486" s="1">
        <v>1221</v>
      </c>
      <c r="E1486" s="1">
        <v>22793</v>
      </c>
      <c r="F1486" s="2">
        <v>76848</v>
      </c>
    </row>
    <row r="1487" spans="1:6" x14ac:dyDescent="0.25">
      <c r="A1487">
        <v>2017</v>
      </c>
      <c r="B1487" t="s">
        <v>55</v>
      </c>
      <c r="C1487" t="s">
        <v>47</v>
      </c>
      <c r="D1487" s="1">
        <v>2865</v>
      </c>
      <c r="E1487" s="1">
        <v>31986</v>
      </c>
      <c r="F1487" s="2">
        <v>37981</v>
      </c>
    </row>
    <row r="1488" spans="1:6" x14ac:dyDescent="0.25">
      <c r="A1488">
        <v>2017</v>
      </c>
      <c r="B1488" t="s">
        <v>55</v>
      </c>
      <c r="C1488" t="s">
        <v>48</v>
      </c>
      <c r="D1488" s="1">
        <v>1442</v>
      </c>
      <c r="E1488" s="1">
        <v>22390</v>
      </c>
      <c r="F1488" s="2">
        <v>81163</v>
      </c>
    </row>
    <row r="1489" spans="1:6" x14ac:dyDescent="0.25">
      <c r="A1489">
        <v>2017</v>
      </c>
      <c r="B1489" t="s">
        <v>51</v>
      </c>
      <c r="C1489" t="s">
        <v>1</v>
      </c>
      <c r="D1489" s="1">
        <v>9645</v>
      </c>
      <c r="E1489" s="1">
        <v>85262</v>
      </c>
      <c r="F1489" s="2">
        <v>52230</v>
      </c>
    </row>
    <row r="1490" spans="1:6" x14ac:dyDescent="0.25">
      <c r="A1490">
        <v>2017</v>
      </c>
      <c r="B1490" t="s">
        <v>51</v>
      </c>
      <c r="C1490" t="s">
        <v>2</v>
      </c>
      <c r="D1490" s="1">
        <v>11368</v>
      </c>
      <c r="E1490" s="1">
        <v>144747</v>
      </c>
      <c r="F1490" s="2">
        <v>53440</v>
      </c>
    </row>
    <row r="1491" spans="1:6" x14ac:dyDescent="0.25">
      <c r="A1491">
        <v>2017</v>
      </c>
      <c r="B1491" t="s">
        <v>51</v>
      </c>
      <c r="C1491" t="s">
        <v>3</v>
      </c>
      <c r="D1491" s="1">
        <v>6817</v>
      </c>
      <c r="E1491" s="1">
        <v>51130</v>
      </c>
      <c r="F1491" s="2">
        <v>47283</v>
      </c>
    </row>
    <row r="1492" spans="1:6" x14ac:dyDescent="0.25">
      <c r="A1492">
        <v>2017</v>
      </c>
      <c r="B1492" t="s">
        <v>51</v>
      </c>
      <c r="C1492" t="s">
        <v>4</v>
      </c>
      <c r="D1492" s="1">
        <v>72972</v>
      </c>
      <c r="E1492" s="1">
        <v>805942</v>
      </c>
      <c r="F1492" s="2">
        <v>67561</v>
      </c>
    </row>
    <row r="1493" spans="1:6" x14ac:dyDescent="0.25">
      <c r="A1493">
        <v>2017</v>
      </c>
      <c r="B1493" t="s">
        <v>51</v>
      </c>
      <c r="C1493" t="s">
        <v>5</v>
      </c>
      <c r="D1493" s="1">
        <v>19243</v>
      </c>
      <c r="E1493" s="1">
        <v>163473</v>
      </c>
      <c r="F1493" s="2">
        <v>59444</v>
      </c>
    </row>
    <row r="1494" spans="1:6" x14ac:dyDescent="0.25">
      <c r="A1494">
        <v>2017</v>
      </c>
      <c r="B1494" t="s">
        <v>51</v>
      </c>
      <c r="C1494" t="s">
        <v>6</v>
      </c>
      <c r="D1494" s="1">
        <v>9351</v>
      </c>
      <c r="E1494" s="1">
        <v>58327</v>
      </c>
      <c r="F1494" s="2">
        <v>68641</v>
      </c>
    </row>
    <row r="1495" spans="1:6" x14ac:dyDescent="0.25">
      <c r="A1495">
        <v>2017</v>
      </c>
      <c r="B1495" t="s">
        <v>51</v>
      </c>
      <c r="C1495" t="s">
        <v>7</v>
      </c>
      <c r="D1495" s="1">
        <v>2777</v>
      </c>
      <c r="E1495" s="1">
        <v>21591</v>
      </c>
      <c r="F1495" s="2">
        <v>59040</v>
      </c>
    </row>
    <row r="1496" spans="1:6" x14ac:dyDescent="0.25">
      <c r="A1496">
        <v>2017</v>
      </c>
      <c r="B1496" t="s">
        <v>51</v>
      </c>
      <c r="C1496" t="s">
        <v>8</v>
      </c>
      <c r="D1496" s="1">
        <v>67384</v>
      </c>
      <c r="E1496" s="1">
        <v>503704</v>
      </c>
      <c r="F1496" s="2">
        <v>49256</v>
      </c>
    </row>
    <row r="1497" spans="1:6" x14ac:dyDescent="0.25">
      <c r="A1497">
        <v>2017</v>
      </c>
      <c r="B1497" t="s">
        <v>51</v>
      </c>
      <c r="C1497" t="s">
        <v>9</v>
      </c>
      <c r="D1497" s="1">
        <v>20135</v>
      </c>
      <c r="E1497" s="1">
        <v>182259</v>
      </c>
      <c r="F1497" s="2">
        <v>58213</v>
      </c>
    </row>
    <row r="1498" spans="1:6" x14ac:dyDescent="0.25">
      <c r="A1498">
        <v>2017</v>
      </c>
      <c r="B1498" t="s">
        <v>51</v>
      </c>
      <c r="C1498" t="s">
        <v>10</v>
      </c>
      <c r="D1498" s="1">
        <v>7660</v>
      </c>
      <c r="E1498" s="1">
        <v>42668</v>
      </c>
      <c r="F1498" s="2">
        <v>42865</v>
      </c>
    </row>
    <row r="1499" spans="1:6" x14ac:dyDescent="0.25">
      <c r="A1499">
        <v>2017</v>
      </c>
      <c r="B1499" t="s">
        <v>51</v>
      </c>
      <c r="C1499" t="s">
        <v>11</v>
      </c>
      <c r="D1499" s="1">
        <v>31422</v>
      </c>
      <c r="E1499" s="1">
        <v>220019</v>
      </c>
      <c r="F1499" s="2">
        <v>70893</v>
      </c>
    </row>
    <row r="1500" spans="1:6" x14ac:dyDescent="0.25">
      <c r="A1500">
        <v>2017</v>
      </c>
      <c r="B1500" t="s">
        <v>51</v>
      </c>
      <c r="C1500" t="s">
        <v>12</v>
      </c>
      <c r="D1500" s="1">
        <v>14839</v>
      </c>
      <c r="E1500" s="1">
        <v>138040</v>
      </c>
      <c r="F1500" s="2">
        <v>57099</v>
      </c>
    </row>
    <row r="1501" spans="1:6" x14ac:dyDescent="0.25">
      <c r="A1501">
        <v>2017</v>
      </c>
      <c r="B1501" t="s">
        <v>51</v>
      </c>
      <c r="C1501" t="s">
        <v>13</v>
      </c>
      <c r="D1501" s="1">
        <v>9417</v>
      </c>
      <c r="E1501" s="1">
        <v>76086</v>
      </c>
      <c r="F1501" s="2">
        <v>55415</v>
      </c>
    </row>
    <row r="1502" spans="1:6" x14ac:dyDescent="0.25">
      <c r="A1502">
        <v>2017</v>
      </c>
      <c r="B1502" t="s">
        <v>51</v>
      </c>
      <c r="C1502" t="s">
        <v>14</v>
      </c>
      <c r="D1502" s="1">
        <v>7584</v>
      </c>
      <c r="E1502" s="1">
        <v>60238</v>
      </c>
      <c r="F1502" s="2">
        <v>52807</v>
      </c>
    </row>
    <row r="1503" spans="1:6" x14ac:dyDescent="0.25">
      <c r="A1503">
        <v>2017</v>
      </c>
      <c r="B1503" t="s">
        <v>51</v>
      </c>
      <c r="C1503" t="s">
        <v>15</v>
      </c>
      <c r="D1503" s="1">
        <v>9339</v>
      </c>
      <c r="E1503" s="1">
        <v>77332</v>
      </c>
      <c r="F1503" s="2">
        <v>53194</v>
      </c>
    </row>
    <row r="1504" spans="1:6" x14ac:dyDescent="0.25">
      <c r="A1504">
        <v>2017</v>
      </c>
      <c r="B1504" t="s">
        <v>51</v>
      </c>
      <c r="C1504" t="s">
        <v>16</v>
      </c>
      <c r="D1504" s="1">
        <v>10825</v>
      </c>
      <c r="E1504" s="1">
        <v>147021</v>
      </c>
      <c r="F1504" s="2">
        <v>61781</v>
      </c>
    </row>
    <row r="1505" spans="1:6" x14ac:dyDescent="0.25">
      <c r="A1505">
        <v>2017</v>
      </c>
      <c r="B1505" t="s">
        <v>51</v>
      </c>
      <c r="C1505" t="s">
        <v>17</v>
      </c>
      <c r="D1505" s="1">
        <v>5502</v>
      </c>
      <c r="E1505" s="1">
        <v>28253</v>
      </c>
      <c r="F1505" s="2">
        <v>47930</v>
      </c>
    </row>
    <row r="1506" spans="1:6" x14ac:dyDescent="0.25">
      <c r="A1506">
        <v>2017</v>
      </c>
      <c r="B1506" t="s">
        <v>51</v>
      </c>
      <c r="C1506" t="s">
        <v>18</v>
      </c>
      <c r="D1506" s="1">
        <v>16463</v>
      </c>
      <c r="E1506" s="1">
        <v>162140</v>
      </c>
      <c r="F1506" s="2">
        <v>65027</v>
      </c>
    </row>
    <row r="1507" spans="1:6" x14ac:dyDescent="0.25">
      <c r="A1507">
        <v>2017</v>
      </c>
      <c r="B1507" t="s">
        <v>51</v>
      </c>
      <c r="C1507" t="s">
        <v>19</v>
      </c>
      <c r="D1507" s="1">
        <v>21055</v>
      </c>
      <c r="E1507" s="1">
        <v>152131</v>
      </c>
      <c r="F1507" s="2">
        <v>75405</v>
      </c>
    </row>
    <row r="1508" spans="1:6" x14ac:dyDescent="0.25">
      <c r="A1508">
        <v>2017</v>
      </c>
      <c r="B1508" t="s">
        <v>51</v>
      </c>
      <c r="C1508" t="s">
        <v>20</v>
      </c>
      <c r="D1508" s="1">
        <v>19544</v>
      </c>
      <c r="E1508" s="1">
        <v>161903</v>
      </c>
      <c r="F1508" s="2">
        <v>61511</v>
      </c>
    </row>
    <row r="1509" spans="1:6" x14ac:dyDescent="0.25">
      <c r="A1509">
        <v>2017</v>
      </c>
      <c r="B1509" t="s">
        <v>51</v>
      </c>
      <c r="C1509" t="s">
        <v>21</v>
      </c>
      <c r="D1509" s="1">
        <v>15746</v>
      </c>
      <c r="E1509" s="1">
        <v>119642</v>
      </c>
      <c r="F1509" s="2">
        <v>65464</v>
      </c>
    </row>
    <row r="1510" spans="1:6" x14ac:dyDescent="0.25">
      <c r="A1510">
        <v>2017</v>
      </c>
      <c r="B1510" t="s">
        <v>51</v>
      </c>
      <c r="C1510" t="s">
        <v>22</v>
      </c>
      <c r="D1510" s="1">
        <v>5670</v>
      </c>
      <c r="E1510" s="1">
        <v>43467</v>
      </c>
      <c r="F1510" s="2">
        <v>48782</v>
      </c>
    </row>
    <row r="1511" spans="1:6" x14ac:dyDescent="0.25">
      <c r="A1511">
        <v>2017</v>
      </c>
      <c r="B1511" t="s">
        <v>51</v>
      </c>
      <c r="C1511" t="s">
        <v>23</v>
      </c>
      <c r="D1511" s="1">
        <v>15141</v>
      </c>
      <c r="E1511" s="1">
        <v>123034</v>
      </c>
      <c r="F1511" s="2">
        <v>57823</v>
      </c>
    </row>
    <row r="1512" spans="1:6" x14ac:dyDescent="0.25">
      <c r="A1512">
        <v>2017</v>
      </c>
      <c r="B1512" t="s">
        <v>51</v>
      </c>
      <c r="C1512" t="s">
        <v>24</v>
      </c>
      <c r="D1512" s="1">
        <v>6287</v>
      </c>
      <c r="E1512" s="1">
        <v>27712</v>
      </c>
      <c r="F1512" s="2">
        <v>50369</v>
      </c>
    </row>
    <row r="1513" spans="1:6" x14ac:dyDescent="0.25">
      <c r="A1513">
        <v>2017</v>
      </c>
      <c r="B1513" t="s">
        <v>51</v>
      </c>
      <c r="C1513" t="s">
        <v>25</v>
      </c>
      <c r="D1513" s="1">
        <v>7053</v>
      </c>
      <c r="E1513" s="1">
        <v>51174</v>
      </c>
      <c r="F1513" s="2">
        <v>49634</v>
      </c>
    </row>
    <row r="1514" spans="1:6" x14ac:dyDescent="0.25">
      <c r="A1514">
        <v>2017</v>
      </c>
      <c r="B1514" t="s">
        <v>51</v>
      </c>
      <c r="C1514" t="s">
        <v>26</v>
      </c>
      <c r="D1514" s="1">
        <v>5859</v>
      </c>
      <c r="E1514" s="1">
        <v>82998</v>
      </c>
      <c r="F1514" s="2">
        <v>58071</v>
      </c>
    </row>
    <row r="1515" spans="1:6" x14ac:dyDescent="0.25">
      <c r="A1515">
        <v>2017</v>
      </c>
      <c r="B1515" t="s">
        <v>51</v>
      </c>
      <c r="C1515" t="s">
        <v>27</v>
      </c>
      <c r="D1515" s="1">
        <v>4363</v>
      </c>
      <c r="E1515" s="1">
        <v>26466</v>
      </c>
      <c r="F1515" s="2">
        <v>61497</v>
      </c>
    </row>
    <row r="1516" spans="1:6" x14ac:dyDescent="0.25">
      <c r="A1516">
        <v>2017</v>
      </c>
      <c r="B1516" t="s">
        <v>51</v>
      </c>
      <c r="C1516" t="s">
        <v>28</v>
      </c>
      <c r="D1516" s="1">
        <v>21672</v>
      </c>
      <c r="E1516" s="1">
        <v>154907</v>
      </c>
      <c r="F1516" s="2">
        <v>71145</v>
      </c>
    </row>
    <row r="1517" spans="1:6" x14ac:dyDescent="0.25">
      <c r="A1517">
        <v>2017</v>
      </c>
      <c r="B1517" t="s">
        <v>51</v>
      </c>
      <c r="C1517" t="s">
        <v>29</v>
      </c>
      <c r="D1517" s="1">
        <v>5141</v>
      </c>
      <c r="E1517" s="1">
        <v>45511</v>
      </c>
      <c r="F1517" s="2">
        <v>46369</v>
      </c>
    </row>
    <row r="1518" spans="1:6" x14ac:dyDescent="0.25">
      <c r="A1518">
        <v>2017</v>
      </c>
      <c r="B1518" t="s">
        <v>51</v>
      </c>
      <c r="C1518" t="s">
        <v>30</v>
      </c>
      <c r="D1518" s="1">
        <v>50064</v>
      </c>
      <c r="E1518" s="1">
        <v>386615</v>
      </c>
      <c r="F1518" s="2">
        <v>71408</v>
      </c>
    </row>
    <row r="1519" spans="1:6" x14ac:dyDescent="0.25">
      <c r="A1519">
        <v>2017</v>
      </c>
      <c r="B1519" t="s">
        <v>51</v>
      </c>
      <c r="C1519" t="s">
        <v>31</v>
      </c>
      <c r="D1519" s="1">
        <v>26057</v>
      </c>
      <c r="E1519" s="1">
        <v>208662</v>
      </c>
      <c r="F1519" s="2">
        <v>52372</v>
      </c>
    </row>
    <row r="1520" spans="1:6" x14ac:dyDescent="0.25">
      <c r="A1520">
        <v>2017</v>
      </c>
      <c r="B1520" t="s">
        <v>51</v>
      </c>
      <c r="C1520" t="s">
        <v>32</v>
      </c>
      <c r="D1520" s="1">
        <v>4035</v>
      </c>
      <c r="E1520" s="1">
        <v>26732</v>
      </c>
      <c r="F1520" s="2">
        <v>63029</v>
      </c>
    </row>
    <row r="1521" spans="1:6" x14ac:dyDescent="0.25">
      <c r="A1521">
        <v>2017</v>
      </c>
      <c r="B1521" t="s">
        <v>51</v>
      </c>
      <c r="C1521" t="s">
        <v>33</v>
      </c>
      <c r="D1521" s="1">
        <v>23022</v>
      </c>
      <c r="E1521" s="1">
        <v>217025</v>
      </c>
      <c r="F1521" s="2">
        <v>60831</v>
      </c>
    </row>
    <row r="1522" spans="1:6" x14ac:dyDescent="0.25">
      <c r="A1522">
        <v>2017</v>
      </c>
      <c r="B1522" t="s">
        <v>51</v>
      </c>
      <c r="C1522" t="s">
        <v>34</v>
      </c>
      <c r="D1522" s="1">
        <v>9823</v>
      </c>
      <c r="E1522" s="1">
        <v>77247</v>
      </c>
      <c r="F1522" s="2">
        <v>50585</v>
      </c>
    </row>
    <row r="1523" spans="1:6" x14ac:dyDescent="0.25">
      <c r="A1523">
        <v>2017</v>
      </c>
      <c r="B1523" t="s">
        <v>51</v>
      </c>
      <c r="C1523" t="s">
        <v>35</v>
      </c>
      <c r="D1523" s="1">
        <v>13468</v>
      </c>
      <c r="E1523" s="1">
        <v>96991</v>
      </c>
      <c r="F1523" s="2">
        <v>57987</v>
      </c>
    </row>
    <row r="1524" spans="1:6" x14ac:dyDescent="0.25">
      <c r="A1524">
        <v>2017</v>
      </c>
      <c r="B1524" t="s">
        <v>51</v>
      </c>
      <c r="C1524" t="s">
        <v>36</v>
      </c>
      <c r="D1524" s="1">
        <v>28397</v>
      </c>
      <c r="E1524" s="1">
        <v>248932</v>
      </c>
      <c r="F1524" s="2">
        <v>64769</v>
      </c>
    </row>
    <row r="1525" spans="1:6" x14ac:dyDescent="0.25">
      <c r="A1525">
        <v>2017</v>
      </c>
      <c r="B1525" t="s">
        <v>51</v>
      </c>
      <c r="C1525" t="s">
        <v>38</v>
      </c>
      <c r="D1525" s="1">
        <v>11635</v>
      </c>
      <c r="E1525" s="1">
        <v>100817</v>
      </c>
      <c r="F1525" s="2">
        <v>53542</v>
      </c>
    </row>
    <row r="1526" spans="1:6" x14ac:dyDescent="0.25">
      <c r="A1526">
        <v>2017</v>
      </c>
      <c r="B1526" t="s">
        <v>51</v>
      </c>
      <c r="C1526" t="s">
        <v>39</v>
      </c>
      <c r="D1526" s="1">
        <v>3883</v>
      </c>
      <c r="E1526" s="1">
        <v>22351</v>
      </c>
      <c r="F1526" s="2">
        <v>47385</v>
      </c>
    </row>
    <row r="1527" spans="1:6" x14ac:dyDescent="0.25">
      <c r="A1527">
        <v>2017</v>
      </c>
      <c r="B1527" t="s">
        <v>51</v>
      </c>
      <c r="C1527" t="s">
        <v>40</v>
      </c>
      <c r="D1527" s="1">
        <v>11745</v>
      </c>
      <c r="E1527" s="1">
        <v>119968</v>
      </c>
      <c r="F1527" s="2">
        <v>56642</v>
      </c>
    </row>
    <row r="1528" spans="1:6" x14ac:dyDescent="0.25">
      <c r="A1528">
        <v>2017</v>
      </c>
      <c r="B1528" t="s">
        <v>51</v>
      </c>
      <c r="C1528" t="s">
        <v>41</v>
      </c>
      <c r="D1528" s="1">
        <v>49310</v>
      </c>
      <c r="E1528" s="1">
        <v>711119</v>
      </c>
      <c r="F1528" s="2">
        <v>63219</v>
      </c>
    </row>
    <row r="1529" spans="1:6" x14ac:dyDescent="0.25">
      <c r="A1529">
        <v>2017</v>
      </c>
      <c r="B1529" t="s">
        <v>51</v>
      </c>
      <c r="C1529" t="s">
        <v>42</v>
      </c>
      <c r="D1529" s="1">
        <v>10886</v>
      </c>
      <c r="E1529" s="1">
        <v>97495</v>
      </c>
      <c r="F1529" s="2">
        <v>49132</v>
      </c>
    </row>
    <row r="1530" spans="1:6" x14ac:dyDescent="0.25">
      <c r="A1530">
        <v>2017</v>
      </c>
      <c r="B1530" t="s">
        <v>51</v>
      </c>
      <c r="C1530" t="s">
        <v>43</v>
      </c>
      <c r="D1530" s="1">
        <v>2865</v>
      </c>
      <c r="E1530" s="1">
        <v>15187</v>
      </c>
      <c r="F1530" s="2">
        <v>50125</v>
      </c>
    </row>
    <row r="1531" spans="1:6" x14ac:dyDescent="0.25">
      <c r="A1531">
        <v>2017</v>
      </c>
      <c r="B1531" t="s">
        <v>51</v>
      </c>
      <c r="C1531" t="s">
        <v>44</v>
      </c>
      <c r="D1531" s="1">
        <v>21256</v>
      </c>
      <c r="E1531" s="1">
        <v>192576</v>
      </c>
      <c r="F1531" s="2">
        <v>56166</v>
      </c>
    </row>
    <row r="1532" spans="1:6" x14ac:dyDescent="0.25">
      <c r="A1532">
        <v>2017</v>
      </c>
      <c r="B1532" t="s">
        <v>51</v>
      </c>
      <c r="C1532" t="s">
        <v>45</v>
      </c>
      <c r="D1532" s="1">
        <v>25279</v>
      </c>
      <c r="E1532" s="1">
        <v>187247</v>
      </c>
      <c r="F1532" s="2">
        <v>61249</v>
      </c>
    </row>
    <row r="1533" spans="1:6" x14ac:dyDescent="0.25">
      <c r="A1533">
        <v>2017</v>
      </c>
      <c r="B1533" t="s">
        <v>51</v>
      </c>
      <c r="C1533" t="s">
        <v>46</v>
      </c>
      <c r="D1533" s="1">
        <v>4402</v>
      </c>
      <c r="E1533" s="1">
        <v>31522</v>
      </c>
      <c r="F1533" s="2">
        <v>57987</v>
      </c>
    </row>
    <row r="1534" spans="1:6" x14ac:dyDescent="0.25">
      <c r="A1534">
        <v>2017</v>
      </c>
      <c r="B1534" t="s">
        <v>51</v>
      </c>
      <c r="C1534" t="s">
        <v>47</v>
      </c>
      <c r="D1534" s="1">
        <v>14158</v>
      </c>
      <c r="E1534" s="1">
        <v>117226</v>
      </c>
      <c r="F1534" s="2">
        <v>60136</v>
      </c>
    </row>
    <row r="1535" spans="1:6" x14ac:dyDescent="0.25">
      <c r="A1535">
        <v>2017</v>
      </c>
      <c r="B1535" t="s">
        <v>51</v>
      </c>
      <c r="C1535" t="s">
        <v>48</v>
      </c>
      <c r="D1535" s="1">
        <v>3427</v>
      </c>
      <c r="E1535" s="1">
        <v>19573</v>
      </c>
      <c r="F1535" s="2">
        <v>50877</v>
      </c>
    </row>
    <row r="1536" spans="1:6" x14ac:dyDescent="0.25">
      <c r="A1536">
        <v>2017</v>
      </c>
      <c r="B1536" t="s">
        <v>52</v>
      </c>
      <c r="C1536" t="s">
        <v>1</v>
      </c>
      <c r="D1536" s="1">
        <v>5447</v>
      </c>
      <c r="E1536" s="1">
        <v>263487</v>
      </c>
      <c r="F1536" s="2">
        <v>55197</v>
      </c>
    </row>
    <row r="1537" spans="1:6" x14ac:dyDescent="0.25">
      <c r="A1537">
        <v>2017</v>
      </c>
      <c r="B1537" t="s">
        <v>52</v>
      </c>
      <c r="C1537" t="s">
        <v>2</v>
      </c>
      <c r="D1537" s="1">
        <v>4657</v>
      </c>
      <c r="E1537" s="1">
        <v>162399</v>
      </c>
      <c r="F1537" s="2">
        <v>73528</v>
      </c>
    </row>
    <row r="1538" spans="1:6" x14ac:dyDescent="0.25">
      <c r="A1538">
        <v>2017</v>
      </c>
      <c r="B1538" t="s">
        <v>52</v>
      </c>
      <c r="C1538" t="s">
        <v>3</v>
      </c>
      <c r="D1538" s="1">
        <v>2928</v>
      </c>
      <c r="E1538" s="1">
        <v>157305</v>
      </c>
      <c r="F1538" s="2">
        <v>46766</v>
      </c>
    </row>
    <row r="1539" spans="1:6" x14ac:dyDescent="0.25">
      <c r="A1539">
        <v>2017</v>
      </c>
      <c r="B1539" t="s">
        <v>52</v>
      </c>
      <c r="C1539" t="s">
        <v>4</v>
      </c>
      <c r="D1539" s="1">
        <v>42215</v>
      </c>
      <c r="E1539" s="1">
        <v>1303550</v>
      </c>
      <c r="F1539" s="2">
        <v>92246</v>
      </c>
    </row>
    <row r="1540" spans="1:6" x14ac:dyDescent="0.25">
      <c r="A1540">
        <v>2017</v>
      </c>
      <c r="B1540" t="s">
        <v>52</v>
      </c>
      <c r="C1540" t="s">
        <v>5</v>
      </c>
      <c r="D1540" s="1">
        <v>5750</v>
      </c>
      <c r="E1540" s="1">
        <v>144067</v>
      </c>
      <c r="F1540" s="2">
        <v>69446</v>
      </c>
    </row>
    <row r="1541" spans="1:6" x14ac:dyDescent="0.25">
      <c r="A1541">
        <v>2017</v>
      </c>
      <c r="B1541" t="s">
        <v>52</v>
      </c>
      <c r="C1541" t="s">
        <v>6</v>
      </c>
      <c r="D1541" s="1">
        <v>4460</v>
      </c>
      <c r="E1541" s="1">
        <v>158891</v>
      </c>
      <c r="F1541" s="2">
        <v>81864</v>
      </c>
    </row>
    <row r="1542" spans="1:6" x14ac:dyDescent="0.25">
      <c r="A1542">
        <v>2017</v>
      </c>
      <c r="B1542" t="s">
        <v>52</v>
      </c>
      <c r="C1542" t="s">
        <v>7</v>
      </c>
      <c r="D1542">
        <v>688</v>
      </c>
      <c r="E1542" s="1">
        <v>25928</v>
      </c>
      <c r="F1542" s="2">
        <v>62417</v>
      </c>
    </row>
    <row r="1543" spans="1:6" x14ac:dyDescent="0.25">
      <c r="A1543">
        <v>2017</v>
      </c>
      <c r="B1543" t="s">
        <v>52</v>
      </c>
      <c r="C1543" t="s">
        <v>8</v>
      </c>
      <c r="D1543" s="1">
        <v>20513</v>
      </c>
      <c r="E1543" s="1">
        <v>363137</v>
      </c>
      <c r="F1543" s="2">
        <v>59389</v>
      </c>
    </row>
    <row r="1544" spans="1:6" x14ac:dyDescent="0.25">
      <c r="A1544">
        <v>2017</v>
      </c>
      <c r="B1544" t="s">
        <v>52</v>
      </c>
      <c r="C1544" t="s">
        <v>9</v>
      </c>
      <c r="D1544" s="1">
        <v>9745</v>
      </c>
      <c r="E1544" s="1">
        <v>395916</v>
      </c>
      <c r="F1544" s="2">
        <v>57889</v>
      </c>
    </row>
    <row r="1545" spans="1:6" x14ac:dyDescent="0.25">
      <c r="A1545">
        <v>2017</v>
      </c>
      <c r="B1545" t="s">
        <v>52</v>
      </c>
      <c r="C1545" t="s">
        <v>10</v>
      </c>
      <c r="D1545" s="1">
        <v>2750</v>
      </c>
      <c r="E1545" s="1">
        <v>66056</v>
      </c>
      <c r="F1545" s="2">
        <v>61543</v>
      </c>
    </row>
    <row r="1546" spans="1:6" x14ac:dyDescent="0.25">
      <c r="A1546">
        <v>2017</v>
      </c>
      <c r="B1546" t="s">
        <v>52</v>
      </c>
      <c r="C1546" t="s">
        <v>11</v>
      </c>
      <c r="D1546" s="1">
        <v>17979</v>
      </c>
      <c r="E1546" s="1">
        <v>574692</v>
      </c>
      <c r="F1546" s="2">
        <v>70174</v>
      </c>
    </row>
    <row r="1547" spans="1:6" x14ac:dyDescent="0.25">
      <c r="A1547">
        <v>2017</v>
      </c>
      <c r="B1547" t="s">
        <v>52</v>
      </c>
      <c r="C1547" t="s">
        <v>12</v>
      </c>
      <c r="D1547" s="1">
        <v>8554</v>
      </c>
      <c r="E1547" s="1">
        <v>531312</v>
      </c>
      <c r="F1547" s="2">
        <v>61118</v>
      </c>
    </row>
    <row r="1548" spans="1:6" x14ac:dyDescent="0.25">
      <c r="A1548">
        <v>2017</v>
      </c>
      <c r="B1548" t="s">
        <v>52</v>
      </c>
      <c r="C1548" t="s">
        <v>13</v>
      </c>
      <c r="D1548" s="1">
        <v>4125</v>
      </c>
      <c r="E1548" s="1">
        <v>215910</v>
      </c>
      <c r="F1548" s="2">
        <v>58617</v>
      </c>
    </row>
    <row r="1549" spans="1:6" x14ac:dyDescent="0.25">
      <c r="A1549">
        <v>2017</v>
      </c>
      <c r="B1549" t="s">
        <v>52</v>
      </c>
      <c r="C1549" t="s">
        <v>14</v>
      </c>
      <c r="D1549" s="1">
        <v>3164</v>
      </c>
      <c r="E1549" s="1">
        <v>161517</v>
      </c>
      <c r="F1549" s="2">
        <v>57532</v>
      </c>
    </row>
    <row r="1550" spans="1:6" x14ac:dyDescent="0.25">
      <c r="A1550">
        <v>2017</v>
      </c>
      <c r="B1550" t="s">
        <v>52</v>
      </c>
      <c r="C1550" t="s">
        <v>15</v>
      </c>
      <c r="D1550" s="1">
        <v>4368</v>
      </c>
      <c r="E1550" s="1">
        <v>250180</v>
      </c>
      <c r="F1550" s="2">
        <v>58143</v>
      </c>
    </row>
    <row r="1551" spans="1:6" x14ac:dyDescent="0.25">
      <c r="A1551">
        <v>2017</v>
      </c>
      <c r="B1551" t="s">
        <v>52</v>
      </c>
      <c r="C1551" t="s">
        <v>16</v>
      </c>
      <c r="D1551" s="1">
        <v>4464</v>
      </c>
      <c r="E1551" s="1">
        <v>134680</v>
      </c>
      <c r="F1551" s="2">
        <v>72604</v>
      </c>
    </row>
    <row r="1552" spans="1:6" x14ac:dyDescent="0.25">
      <c r="A1552">
        <v>2017</v>
      </c>
      <c r="B1552" t="s">
        <v>52</v>
      </c>
      <c r="C1552" t="s">
        <v>17</v>
      </c>
      <c r="D1552" s="1">
        <v>1877</v>
      </c>
      <c r="E1552" s="1">
        <v>50911</v>
      </c>
      <c r="F1552" s="2">
        <v>55458</v>
      </c>
    </row>
    <row r="1553" spans="1:6" x14ac:dyDescent="0.25">
      <c r="A1553">
        <v>2017</v>
      </c>
      <c r="B1553" t="s">
        <v>52</v>
      </c>
      <c r="C1553" t="s">
        <v>18</v>
      </c>
      <c r="D1553" s="1">
        <v>3901</v>
      </c>
      <c r="E1553" s="1">
        <v>106864</v>
      </c>
      <c r="F1553" s="2">
        <v>77289</v>
      </c>
    </row>
    <row r="1554" spans="1:6" x14ac:dyDescent="0.25">
      <c r="A1554">
        <v>2017</v>
      </c>
      <c r="B1554" t="s">
        <v>52</v>
      </c>
      <c r="C1554" t="s">
        <v>19</v>
      </c>
      <c r="D1554" s="1">
        <v>6850</v>
      </c>
      <c r="E1554" s="1">
        <v>244647</v>
      </c>
      <c r="F1554" s="2">
        <v>88132</v>
      </c>
    </row>
    <row r="1555" spans="1:6" x14ac:dyDescent="0.25">
      <c r="A1555">
        <v>2017</v>
      </c>
      <c r="B1555" t="s">
        <v>52</v>
      </c>
      <c r="C1555" t="s">
        <v>20</v>
      </c>
      <c r="D1555" s="1">
        <v>15721</v>
      </c>
      <c r="E1555" s="1">
        <v>615106</v>
      </c>
      <c r="F1555" s="2">
        <v>66395</v>
      </c>
    </row>
    <row r="1556" spans="1:6" x14ac:dyDescent="0.25">
      <c r="A1556">
        <v>2017</v>
      </c>
      <c r="B1556" t="s">
        <v>52</v>
      </c>
      <c r="C1556" t="s">
        <v>21</v>
      </c>
      <c r="D1556" s="1">
        <v>8369</v>
      </c>
      <c r="E1556" s="1">
        <v>319035</v>
      </c>
      <c r="F1556" s="2">
        <v>65734</v>
      </c>
    </row>
    <row r="1557" spans="1:6" x14ac:dyDescent="0.25">
      <c r="A1557">
        <v>2017</v>
      </c>
      <c r="B1557" t="s">
        <v>52</v>
      </c>
      <c r="C1557" t="s">
        <v>22</v>
      </c>
      <c r="D1557" s="1">
        <v>2441</v>
      </c>
      <c r="E1557" s="1">
        <v>144047</v>
      </c>
      <c r="F1557" s="2">
        <v>48199</v>
      </c>
    </row>
    <row r="1558" spans="1:6" x14ac:dyDescent="0.25">
      <c r="A1558">
        <v>2017</v>
      </c>
      <c r="B1558" t="s">
        <v>52</v>
      </c>
      <c r="C1558" t="s">
        <v>23</v>
      </c>
      <c r="D1558" s="1">
        <v>6636</v>
      </c>
      <c r="E1558" s="1">
        <v>265863</v>
      </c>
      <c r="F1558" s="2">
        <v>57139</v>
      </c>
    </row>
    <row r="1559" spans="1:6" x14ac:dyDescent="0.25">
      <c r="A1559">
        <v>2017</v>
      </c>
      <c r="B1559" t="s">
        <v>52</v>
      </c>
      <c r="C1559" t="s">
        <v>24</v>
      </c>
      <c r="D1559" s="1">
        <v>1572</v>
      </c>
      <c r="E1559" s="1">
        <v>19893</v>
      </c>
      <c r="F1559" s="2">
        <v>48758</v>
      </c>
    </row>
    <row r="1560" spans="1:6" x14ac:dyDescent="0.25">
      <c r="A1560">
        <v>2017</v>
      </c>
      <c r="B1560" t="s">
        <v>52</v>
      </c>
      <c r="C1560" t="s">
        <v>25</v>
      </c>
      <c r="D1560" s="1">
        <v>1977</v>
      </c>
      <c r="E1560" s="1">
        <v>98082</v>
      </c>
      <c r="F1560" s="2">
        <v>49568</v>
      </c>
    </row>
    <row r="1561" spans="1:6" x14ac:dyDescent="0.25">
      <c r="A1561">
        <v>2017</v>
      </c>
      <c r="B1561" t="s">
        <v>52</v>
      </c>
      <c r="C1561" t="s">
        <v>26</v>
      </c>
      <c r="D1561" s="1">
        <v>2043</v>
      </c>
      <c r="E1561" s="1">
        <v>47800</v>
      </c>
      <c r="F1561" s="2">
        <v>56486</v>
      </c>
    </row>
    <row r="1562" spans="1:6" x14ac:dyDescent="0.25">
      <c r="A1562">
        <v>2017</v>
      </c>
      <c r="B1562" t="s">
        <v>52</v>
      </c>
      <c r="C1562" t="s">
        <v>27</v>
      </c>
      <c r="D1562" s="1">
        <v>2011</v>
      </c>
      <c r="E1562" s="1">
        <v>68971</v>
      </c>
      <c r="F1562" s="2">
        <v>70482</v>
      </c>
    </row>
    <row r="1563" spans="1:6" x14ac:dyDescent="0.25">
      <c r="A1563">
        <v>2017</v>
      </c>
      <c r="B1563" t="s">
        <v>52</v>
      </c>
      <c r="C1563" t="s">
        <v>28</v>
      </c>
      <c r="D1563" s="1">
        <v>8962</v>
      </c>
      <c r="E1563" s="1">
        <v>242476</v>
      </c>
      <c r="F1563" s="2">
        <v>78813</v>
      </c>
    </row>
    <row r="1564" spans="1:6" x14ac:dyDescent="0.25">
      <c r="A1564">
        <v>2017</v>
      </c>
      <c r="B1564" t="s">
        <v>52</v>
      </c>
      <c r="C1564" t="s">
        <v>29</v>
      </c>
      <c r="D1564" s="1">
        <v>1724</v>
      </c>
      <c r="E1564" s="1">
        <v>26398</v>
      </c>
      <c r="F1564" s="2">
        <v>53328</v>
      </c>
    </row>
    <row r="1565" spans="1:6" x14ac:dyDescent="0.25">
      <c r="A1565">
        <v>2017</v>
      </c>
      <c r="B1565" t="s">
        <v>52</v>
      </c>
      <c r="C1565" t="s">
        <v>30</v>
      </c>
      <c r="D1565" s="1">
        <v>17319</v>
      </c>
      <c r="E1565" s="1">
        <v>444182</v>
      </c>
      <c r="F1565" s="2">
        <v>65899</v>
      </c>
    </row>
    <row r="1566" spans="1:6" x14ac:dyDescent="0.25">
      <c r="A1566">
        <v>2017</v>
      </c>
      <c r="B1566" t="s">
        <v>52</v>
      </c>
      <c r="C1566" t="s">
        <v>31</v>
      </c>
      <c r="D1566" s="1">
        <v>10287</v>
      </c>
      <c r="E1566" s="1">
        <v>467306</v>
      </c>
      <c r="F1566" s="2">
        <v>58368</v>
      </c>
    </row>
    <row r="1567" spans="1:6" x14ac:dyDescent="0.25">
      <c r="A1567">
        <v>2017</v>
      </c>
      <c r="B1567" t="s">
        <v>52</v>
      </c>
      <c r="C1567" t="s">
        <v>32</v>
      </c>
      <c r="D1567">
        <v>810</v>
      </c>
      <c r="E1567" s="1">
        <v>24680</v>
      </c>
      <c r="F1567" s="2">
        <v>52594</v>
      </c>
    </row>
    <row r="1568" spans="1:6" x14ac:dyDescent="0.25">
      <c r="A1568">
        <v>2017</v>
      </c>
      <c r="B1568" t="s">
        <v>52</v>
      </c>
      <c r="C1568" t="s">
        <v>33</v>
      </c>
      <c r="D1568" s="1">
        <v>15430</v>
      </c>
      <c r="E1568" s="1">
        <v>685942</v>
      </c>
      <c r="F1568" s="2">
        <v>60002</v>
      </c>
    </row>
    <row r="1569" spans="1:6" x14ac:dyDescent="0.25">
      <c r="A1569">
        <v>2017</v>
      </c>
      <c r="B1569" t="s">
        <v>52</v>
      </c>
      <c r="C1569" t="s">
        <v>34</v>
      </c>
      <c r="D1569" s="1">
        <v>4230</v>
      </c>
      <c r="E1569" s="1">
        <v>128122</v>
      </c>
      <c r="F1569" s="2">
        <v>55496</v>
      </c>
    </row>
    <row r="1570" spans="1:6" x14ac:dyDescent="0.25">
      <c r="A1570">
        <v>2017</v>
      </c>
      <c r="B1570" t="s">
        <v>52</v>
      </c>
      <c r="C1570" t="s">
        <v>35</v>
      </c>
      <c r="D1570" s="1">
        <v>6175</v>
      </c>
      <c r="E1570" s="1">
        <v>189318</v>
      </c>
      <c r="F1570" s="2">
        <v>68161</v>
      </c>
    </row>
    <row r="1571" spans="1:6" x14ac:dyDescent="0.25">
      <c r="A1571">
        <v>2017</v>
      </c>
      <c r="B1571" t="s">
        <v>52</v>
      </c>
      <c r="C1571" t="s">
        <v>36</v>
      </c>
      <c r="D1571" s="1">
        <v>14414</v>
      </c>
      <c r="E1571" s="1">
        <v>561774</v>
      </c>
      <c r="F1571" s="2">
        <v>61111</v>
      </c>
    </row>
    <row r="1572" spans="1:6" x14ac:dyDescent="0.25">
      <c r="A1572">
        <v>2017</v>
      </c>
      <c r="B1572" t="s">
        <v>52</v>
      </c>
      <c r="C1572" t="s">
        <v>37</v>
      </c>
      <c r="D1572" s="1">
        <v>1567</v>
      </c>
      <c r="E1572" s="1">
        <v>40341</v>
      </c>
      <c r="F1572" s="2">
        <v>57616</v>
      </c>
    </row>
    <row r="1573" spans="1:6" x14ac:dyDescent="0.25">
      <c r="A1573">
        <v>2017</v>
      </c>
      <c r="B1573" t="s">
        <v>52</v>
      </c>
      <c r="C1573" t="s">
        <v>38</v>
      </c>
      <c r="D1573" s="1">
        <v>5906</v>
      </c>
      <c r="E1573" s="1">
        <v>240456</v>
      </c>
      <c r="F1573" s="2">
        <v>58927</v>
      </c>
    </row>
    <row r="1574" spans="1:6" x14ac:dyDescent="0.25">
      <c r="A1574">
        <v>2017</v>
      </c>
      <c r="B1574" t="s">
        <v>52</v>
      </c>
      <c r="C1574" t="s">
        <v>39</v>
      </c>
      <c r="D1574" s="1">
        <v>1091</v>
      </c>
      <c r="E1574" s="1">
        <v>43081</v>
      </c>
      <c r="F1574" s="2">
        <v>47877</v>
      </c>
    </row>
    <row r="1575" spans="1:6" x14ac:dyDescent="0.25">
      <c r="A1575">
        <v>2017</v>
      </c>
      <c r="B1575" t="s">
        <v>52</v>
      </c>
      <c r="C1575" t="s">
        <v>40</v>
      </c>
      <c r="D1575" s="1">
        <v>6835</v>
      </c>
      <c r="E1575" s="1">
        <v>348417</v>
      </c>
      <c r="F1575" s="2">
        <v>59526</v>
      </c>
    </row>
    <row r="1576" spans="1:6" x14ac:dyDescent="0.25">
      <c r="A1576">
        <v>2017</v>
      </c>
      <c r="B1576" t="s">
        <v>52</v>
      </c>
      <c r="C1576" t="s">
        <v>41</v>
      </c>
      <c r="D1576" s="1">
        <v>24275</v>
      </c>
      <c r="E1576" s="1">
        <v>851513</v>
      </c>
      <c r="F1576" s="2">
        <v>75813</v>
      </c>
    </row>
    <row r="1577" spans="1:6" x14ac:dyDescent="0.25">
      <c r="A1577">
        <v>2017</v>
      </c>
      <c r="B1577" t="s">
        <v>52</v>
      </c>
      <c r="C1577" t="s">
        <v>42</v>
      </c>
      <c r="D1577" s="1">
        <v>4248</v>
      </c>
      <c r="E1577" s="1">
        <v>128365</v>
      </c>
      <c r="F1577" s="2">
        <v>56723</v>
      </c>
    </row>
    <row r="1578" spans="1:6" x14ac:dyDescent="0.25">
      <c r="A1578">
        <v>2017</v>
      </c>
      <c r="B1578" t="s">
        <v>52</v>
      </c>
      <c r="C1578" t="s">
        <v>43</v>
      </c>
      <c r="D1578" s="1">
        <v>1105</v>
      </c>
      <c r="E1578" s="1">
        <v>29550</v>
      </c>
      <c r="F1578" s="2">
        <v>58004</v>
      </c>
    </row>
    <row r="1579" spans="1:6" x14ac:dyDescent="0.25">
      <c r="A1579">
        <v>2017</v>
      </c>
      <c r="B1579" t="s">
        <v>52</v>
      </c>
      <c r="C1579" t="s">
        <v>44</v>
      </c>
      <c r="D1579" s="1">
        <v>6475</v>
      </c>
      <c r="E1579" s="1">
        <v>232927</v>
      </c>
      <c r="F1579" s="2">
        <v>57894</v>
      </c>
    </row>
    <row r="1580" spans="1:6" x14ac:dyDescent="0.25">
      <c r="A1580">
        <v>2017</v>
      </c>
      <c r="B1580" t="s">
        <v>52</v>
      </c>
      <c r="C1580" t="s">
        <v>45</v>
      </c>
      <c r="D1580" s="1">
        <v>7671</v>
      </c>
      <c r="E1580" s="1">
        <v>280368</v>
      </c>
      <c r="F1580" s="2">
        <v>76290</v>
      </c>
    </row>
    <row r="1581" spans="1:6" x14ac:dyDescent="0.25">
      <c r="A1581">
        <v>2017</v>
      </c>
      <c r="B1581" t="s">
        <v>52</v>
      </c>
      <c r="C1581" t="s">
        <v>46</v>
      </c>
      <c r="D1581" s="1">
        <v>1272</v>
      </c>
      <c r="E1581" s="1">
        <v>46575</v>
      </c>
      <c r="F1581" s="2">
        <v>58624</v>
      </c>
    </row>
    <row r="1582" spans="1:6" x14ac:dyDescent="0.25">
      <c r="A1582">
        <v>2017</v>
      </c>
      <c r="B1582" t="s">
        <v>52</v>
      </c>
      <c r="C1582" t="s">
        <v>47</v>
      </c>
      <c r="D1582" s="1">
        <v>9356</v>
      </c>
      <c r="E1582" s="1">
        <v>466595</v>
      </c>
      <c r="F1582" s="2">
        <v>57001</v>
      </c>
    </row>
    <row r="1583" spans="1:6" x14ac:dyDescent="0.25">
      <c r="A1583">
        <v>2017</v>
      </c>
      <c r="B1583" t="s">
        <v>52</v>
      </c>
      <c r="C1583" t="s">
        <v>48</v>
      </c>
      <c r="D1583">
        <v>598</v>
      </c>
      <c r="E1583" s="1">
        <v>9378</v>
      </c>
      <c r="F1583" s="2">
        <v>65834</v>
      </c>
    </row>
    <row r="1584" spans="1:6" x14ac:dyDescent="0.25">
      <c r="A1584">
        <v>2017</v>
      </c>
      <c r="B1584" t="s">
        <v>54</v>
      </c>
      <c r="C1584" t="s">
        <v>1</v>
      </c>
      <c r="D1584" s="1">
        <v>32410</v>
      </c>
      <c r="E1584" s="1">
        <v>375653</v>
      </c>
      <c r="F1584" s="2">
        <v>40518</v>
      </c>
    </row>
    <row r="1585" spans="1:6" x14ac:dyDescent="0.25">
      <c r="A1585">
        <v>2017</v>
      </c>
      <c r="B1585" t="s">
        <v>54</v>
      </c>
      <c r="C1585" t="s">
        <v>2</v>
      </c>
      <c r="D1585" s="1">
        <v>29489</v>
      </c>
      <c r="E1585" s="1">
        <v>518475</v>
      </c>
      <c r="F1585" s="2">
        <v>45126</v>
      </c>
    </row>
    <row r="1586" spans="1:6" x14ac:dyDescent="0.25">
      <c r="A1586">
        <v>2017</v>
      </c>
      <c r="B1586" t="s">
        <v>54</v>
      </c>
      <c r="C1586" t="s">
        <v>3</v>
      </c>
      <c r="D1586" s="1">
        <v>21486</v>
      </c>
      <c r="E1586" s="1">
        <v>247661</v>
      </c>
      <c r="F1586" s="2">
        <v>40275</v>
      </c>
    </row>
    <row r="1587" spans="1:6" x14ac:dyDescent="0.25">
      <c r="A1587">
        <v>2017</v>
      </c>
      <c r="B1587" t="s">
        <v>54</v>
      </c>
      <c r="C1587" t="s">
        <v>4</v>
      </c>
      <c r="D1587" s="1">
        <v>185826</v>
      </c>
      <c r="E1587" s="1">
        <v>3010983</v>
      </c>
      <c r="F1587" s="2">
        <v>51095</v>
      </c>
    </row>
    <row r="1588" spans="1:6" x14ac:dyDescent="0.25">
      <c r="A1588">
        <v>2017</v>
      </c>
      <c r="B1588" t="s">
        <v>54</v>
      </c>
      <c r="C1588" t="s">
        <v>5</v>
      </c>
      <c r="D1588" s="1">
        <v>35715</v>
      </c>
      <c r="E1588" s="1">
        <v>458174</v>
      </c>
      <c r="F1588" s="2">
        <v>48601</v>
      </c>
    </row>
    <row r="1589" spans="1:6" x14ac:dyDescent="0.25">
      <c r="A1589">
        <v>2017</v>
      </c>
      <c r="B1589" t="s">
        <v>54</v>
      </c>
      <c r="C1589" t="s">
        <v>6</v>
      </c>
      <c r="D1589" s="1">
        <v>25027</v>
      </c>
      <c r="E1589" s="1">
        <v>297198</v>
      </c>
      <c r="F1589" s="2">
        <v>50064</v>
      </c>
    </row>
    <row r="1590" spans="1:6" x14ac:dyDescent="0.25">
      <c r="A1590">
        <v>2017</v>
      </c>
      <c r="B1590" t="s">
        <v>54</v>
      </c>
      <c r="C1590" t="s">
        <v>7</v>
      </c>
      <c r="D1590" s="1">
        <v>6681</v>
      </c>
      <c r="E1590" s="1">
        <v>79724</v>
      </c>
      <c r="F1590" s="2">
        <v>39700</v>
      </c>
    </row>
    <row r="1591" spans="1:6" x14ac:dyDescent="0.25">
      <c r="A1591">
        <v>2017</v>
      </c>
      <c r="B1591" t="s">
        <v>54</v>
      </c>
      <c r="C1591" t="s">
        <v>8</v>
      </c>
      <c r="D1591" s="1">
        <v>139501</v>
      </c>
      <c r="E1591" s="1">
        <v>1739867</v>
      </c>
      <c r="F1591" s="2">
        <v>43229</v>
      </c>
    </row>
    <row r="1592" spans="1:6" x14ac:dyDescent="0.25">
      <c r="A1592">
        <v>2017</v>
      </c>
      <c r="B1592" t="s">
        <v>54</v>
      </c>
      <c r="C1592" t="s">
        <v>9</v>
      </c>
      <c r="D1592" s="1">
        <v>60382</v>
      </c>
      <c r="E1592" s="1">
        <v>930943</v>
      </c>
      <c r="F1592" s="2">
        <v>48763</v>
      </c>
    </row>
    <row r="1593" spans="1:6" x14ac:dyDescent="0.25">
      <c r="A1593">
        <v>2017</v>
      </c>
      <c r="B1593" t="s">
        <v>54</v>
      </c>
      <c r="C1593" t="s">
        <v>10</v>
      </c>
      <c r="D1593" s="1">
        <v>11706</v>
      </c>
      <c r="E1593" s="1">
        <v>136606</v>
      </c>
      <c r="F1593" s="2">
        <v>38856</v>
      </c>
    </row>
    <row r="1594" spans="1:6" x14ac:dyDescent="0.25">
      <c r="A1594">
        <v>2017</v>
      </c>
      <c r="B1594" t="s">
        <v>54</v>
      </c>
      <c r="C1594" t="s">
        <v>11</v>
      </c>
      <c r="D1594" s="1">
        <v>77273</v>
      </c>
      <c r="E1594" s="1">
        <v>1192805</v>
      </c>
      <c r="F1594" s="2">
        <v>50025</v>
      </c>
    </row>
    <row r="1595" spans="1:6" x14ac:dyDescent="0.25">
      <c r="A1595">
        <v>2017</v>
      </c>
      <c r="B1595" t="s">
        <v>54</v>
      </c>
      <c r="C1595" t="s">
        <v>12</v>
      </c>
      <c r="D1595" s="1">
        <v>40630</v>
      </c>
      <c r="E1595" s="1">
        <v>588381</v>
      </c>
      <c r="F1595" s="2">
        <v>40479</v>
      </c>
    </row>
    <row r="1596" spans="1:6" x14ac:dyDescent="0.25">
      <c r="A1596">
        <v>2017</v>
      </c>
      <c r="B1596" t="s">
        <v>54</v>
      </c>
      <c r="C1596" t="s">
        <v>13</v>
      </c>
      <c r="D1596" s="1">
        <v>23446</v>
      </c>
      <c r="E1596" s="1">
        <v>311763</v>
      </c>
      <c r="F1596" s="2">
        <v>39025</v>
      </c>
    </row>
    <row r="1597" spans="1:6" x14ac:dyDescent="0.25">
      <c r="A1597">
        <v>2017</v>
      </c>
      <c r="B1597" t="s">
        <v>54</v>
      </c>
      <c r="C1597" t="s">
        <v>14</v>
      </c>
      <c r="D1597" s="1">
        <v>20676</v>
      </c>
      <c r="E1597" s="1">
        <v>263529</v>
      </c>
      <c r="F1597" s="2">
        <v>40705</v>
      </c>
    </row>
    <row r="1598" spans="1:6" x14ac:dyDescent="0.25">
      <c r="A1598">
        <v>2017</v>
      </c>
      <c r="B1598" t="s">
        <v>54</v>
      </c>
      <c r="C1598" t="s">
        <v>15</v>
      </c>
      <c r="D1598" s="1">
        <v>27941</v>
      </c>
      <c r="E1598" s="1">
        <v>398217</v>
      </c>
      <c r="F1598" s="2">
        <v>41261</v>
      </c>
    </row>
    <row r="1599" spans="1:6" x14ac:dyDescent="0.25">
      <c r="A1599">
        <v>2017</v>
      </c>
      <c r="B1599" t="s">
        <v>54</v>
      </c>
      <c r="C1599" t="s">
        <v>16</v>
      </c>
      <c r="D1599" s="1">
        <v>30444</v>
      </c>
      <c r="E1599" s="1">
        <v>378830</v>
      </c>
      <c r="F1599" s="2">
        <v>40938</v>
      </c>
    </row>
    <row r="1600" spans="1:6" x14ac:dyDescent="0.25">
      <c r="A1600">
        <v>2017</v>
      </c>
      <c r="B1600" t="s">
        <v>54</v>
      </c>
      <c r="C1600" t="s">
        <v>17</v>
      </c>
      <c r="D1600" s="1">
        <v>11060</v>
      </c>
      <c r="E1600" s="1">
        <v>119329</v>
      </c>
      <c r="F1600" s="2">
        <v>36287</v>
      </c>
    </row>
    <row r="1601" spans="1:6" x14ac:dyDescent="0.25">
      <c r="A1601">
        <v>2017</v>
      </c>
      <c r="B1601" t="s">
        <v>54</v>
      </c>
      <c r="C1601" t="s">
        <v>18</v>
      </c>
      <c r="D1601" s="1">
        <v>33064</v>
      </c>
      <c r="E1601" s="1">
        <v>462131</v>
      </c>
      <c r="F1601" s="2">
        <v>45367</v>
      </c>
    </row>
    <row r="1602" spans="1:6" x14ac:dyDescent="0.25">
      <c r="A1602">
        <v>2017</v>
      </c>
      <c r="B1602" t="s">
        <v>54</v>
      </c>
      <c r="C1602" t="s">
        <v>19</v>
      </c>
      <c r="D1602" s="1">
        <v>42906</v>
      </c>
      <c r="E1602" s="1">
        <v>577319</v>
      </c>
      <c r="F1602" s="2">
        <v>51500</v>
      </c>
    </row>
    <row r="1603" spans="1:6" x14ac:dyDescent="0.25">
      <c r="A1603">
        <v>2017</v>
      </c>
      <c r="B1603" t="s">
        <v>54</v>
      </c>
      <c r="C1603" t="s">
        <v>20</v>
      </c>
      <c r="D1603" s="1">
        <v>52149</v>
      </c>
      <c r="E1603" s="1">
        <v>784393</v>
      </c>
      <c r="F1603" s="2">
        <v>45628</v>
      </c>
    </row>
    <row r="1604" spans="1:6" x14ac:dyDescent="0.25">
      <c r="A1604">
        <v>2017</v>
      </c>
      <c r="B1604" t="s">
        <v>54</v>
      </c>
      <c r="C1604" t="s">
        <v>21</v>
      </c>
      <c r="D1604" s="1">
        <v>36334</v>
      </c>
      <c r="E1604" s="1">
        <v>531926</v>
      </c>
      <c r="F1604" s="2">
        <v>48273</v>
      </c>
    </row>
    <row r="1605" spans="1:6" x14ac:dyDescent="0.25">
      <c r="A1605">
        <v>2017</v>
      </c>
      <c r="B1605" t="s">
        <v>54</v>
      </c>
      <c r="C1605" t="s">
        <v>22</v>
      </c>
      <c r="D1605" s="1">
        <v>19589</v>
      </c>
      <c r="E1605" s="1">
        <v>229775</v>
      </c>
      <c r="F1605" s="2">
        <v>35324</v>
      </c>
    </row>
    <row r="1606" spans="1:6" x14ac:dyDescent="0.25">
      <c r="A1606">
        <v>2017</v>
      </c>
      <c r="B1606" t="s">
        <v>54</v>
      </c>
      <c r="C1606" t="s">
        <v>23</v>
      </c>
      <c r="D1606" s="1">
        <v>40324</v>
      </c>
      <c r="E1606" s="1">
        <v>538185</v>
      </c>
      <c r="F1606" s="2">
        <v>41095</v>
      </c>
    </row>
    <row r="1607" spans="1:6" x14ac:dyDescent="0.25">
      <c r="A1607">
        <v>2017</v>
      </c>
      <c r="B1607" t="s">
        <v>54</v>
      </c>
      <c r="C1607" t="s">
        <v>24</v>
      </c>
      <c r="D1607" s="1">
        <v>9270</v>
      </c>
      <c r="E1607" s="1">
        <v>91194</v>
      </c>
      <c r="F1607" s="2">
        <v>38067</v>
      </c>
    </row>
    <row r="1608" spans="1:6" x14ac:dyDescent="0.25">
      <c r="A1608">
        <v>2017</v>
      </c>
      <c r="B1608" t="s">
        <v>54</v>
      </c>
      <c r="C1608" t="s">
        <v>25</v>
      </c>
      <c r="D1608" s="1">
        <v>15024</v>
      </c>
      <c r="E1608" s="1">
        <v>190930</v>
      </c>
      <c r="F1608" s="2">
        <v>38493</v>
      </c>
    </row>
    <row r="1609" spans="1:6" x14ac:dyDescent="0.25">
      <c r="A1609">
        <v>2017</v>
      </c>
      <c r="B1609" t="s">
        <v>54</v>
      </c>
      <c r="C1609" t="s">
        <v>26</v>
      </c>
      <c r="D1609" s="1">
        <v>15910</v>
      </c>
      <c r="E1609" s="1">
        <v>247973</v>
      </c>
      <c r="F1609" s="2">
        <v>42847</v>
      </c>
    </row>
    <row r="1610" spans="1:6" x14ac:dyDescent="0.25">
      <c r="A1610">
        <v>2017</v>
      </c>
      <c r="B1610" t="s">
        <v>54</v>
      </c>
      <c r="C1610" t="s">
        <v>27</v>
      </c>
      <c r="D1610" s="1">
        <v>12612</v>
      </c>
      <c r="E1610" s="1">
        <v>139876</v>
      </c>
      <c r="F1610" s="2">
        <v>46101</v>
      </c>
    </row>
    <row r="1611" spans="1:6" x14ac:dyDescent="0.25">
      <c r="A1611">
        <v>2017</v>
      </c>
      <c r="B1611" t="s">
        <v>54</v>
      </c>
      <c r="C1611" t="s">
        <v>28</v>
      </c>
      <c r="D1611" s="1">
        <v>53977</v>
      </c>
      <c r="E1611" s="1">
        <v>872180</v>
      </c>
      <c r="F1611" s="2">
        <v>52631</v>
      </c>
    </row>
    <row r="1612" spans="1:6" x14ac:dyDescent="0.25">
      <c r="A1612">
        <v>2017</v>
      </c>
      <c r="B1612" t="s">
        <v>54</v>
      </c>
      <c r="C1612" t="s">
        <v>29</v>
      </c>
      <c r="D1612" s="1">
        <v>10538</v>
      </c>
      <c r="E1612" s="1">
        <v>134696</v>
      </c>
      <c r="F1612" s="2">
        <v>36519</v>
      </c>
    </row>
    <row r="1613" spans="1:6" x14ac:dyDescent="0.25">
      <c r="A1613">
        <v>2017</v>
      </c>
      <c r="B1613" t="s">
        <v>54</v>
      </c>
      <c r="C1613" t="s">
        <v>30</v>
      </c>
      <c r="D1613" s="1">
        <v>126549</v>
      </c>
      <c r="E1613" s="1">
        <v>1562385</v>
      </c>
      <c r="F1613" s="2">
        <v>50389</v>
      </c>
    </row>
    <row r="1614" spans="1:6" x14ac:dyDescent="0.25">
      <c r="A1614">
        <v>2017</v>
      </c>
      <c r="B1614" t="s">
        <v>54</v>
      </c>
      <c r="C1614" t="s">
        <v>31</v>
      </c>
      <c r="D1614" s="1">
        <v>61042</v>
      </c>
      <c r="E1614" s="1">
        <v>824989</v>
      </c>
      <c r="F1614" s="2">
        <v>41845</v>
      </c>
    </row>
    <row r="1615" spans="1:6" x14ac:dyDescent="0.25">
      <c r="A1615">
        <v>2017</v>
      </c>
      <c r="B1615" t="s">
        <v>54</v>
      </c>
      <c r="C1615" t="s">
        <v>32</v>
      </c>
      <c r="D1615" s="1">
        <v>7819</v>
      </c>
      <c r="E1615" s="1">
        <v>92052</v>
      </c>
      <c r="F1615" s="2">
        <v>47910</v>
      </c>
    </row>
    <row r="1616" spans="1:6" x14ac:dyDescent="0.25">
      <c r="A1616">
        <v>2017</v>
      </c>
      <c r="B1616" t="s">
        <v>54</v>
      </c>
      <c r="C1616" t="s">
        <v>33</v>
      </c>
      <c r="D1616" s="1">
        <v>68763</v>
      </c>
      <c r="E1616" s="1">
        <v>1018161</v>
      </c>
      <c r="F1616" s="2">
        <v>42564</v>
      </c>
    </row>
    <row r="1617" spans="1:6" x14ac:dyDescent="0.25">
      <c r="A1617">
        <v>2017</v>
      </c>
      <c r="B1617" t="s">
        <v>54</v>
      </c>
      <c r="C1617" t="s">
        <v>34</v>
      </c>
      <c r="D1617" s="1">
        <v>23838</v>
      </c>
      <c r="E1617" s="1">
        <v>301165</v>
      </c>
      <c r="F1617" s="2">
        <v>41040</v>
      </c>
    </row>
    <row r="1618" spans="1:6" x14ac:dyDescent="0.25">
      <c r="A1618">
        <v>2017</v>
      </c>
      <c r="B1618" t="s">
        <v>54</v>
      </c>
      <c r="C1618" t="s">
        <v>35</v>
      </c>
      <c r="D1618" s="1">
        <v>26684</v>
      </c>
      <c r="E1618" s="1">
        <v>347515</v>
      </c>
      <c r="F1618" s="2">
        <v>42870</v>
      </c>
    </row>
    <row r="1619" spans="1:6" x14ac:dyDescent="0.25">
      <c r="A1619">
        <v>2017</v>
      </c>
      <c r="B1619" t="s">
        <v>54</v>
      </c>
      <c r="C1619" t="s">
        <v>36</v>
      </c>
      <c r="D1619" s="1">
        <v>75374</v>
      </c>
      <c r="E1619" s="1">
        <v>1115565</v>
      </c>
      <c r="F1619" s="2">
        <v>43972</v>
      </c>
    </row>
    <row r="1620" spans="1:6" x14ac:dyDescent="0.25">
      <c r="A1620">
        <v>2017</v>
      </c>
      <c r="B1620" t="s">
        <v>54</v>
      </c>
      <c r="C1620" t="s">
        <v>37</v>
      </c>
      <c r="D1620" s="1">
        <v>7674</v>
      </c>
      <c r="E1620" s="1">
        <v>76263</v>
      </c>
      <c r="F1620" s="2">
        <v>42503</v>
      </c>
    </row>
    <row r="1621" spans="1:6" x14ac:dyDescent="0.25">
      <c r="A1621">
        <v>2017</v>
      </c>
      <c r="B1621" t="s">
        <v>54</v>
      </c>
      <c r="C1621" t="s">
        <v>38</v>
      </c>
      <c r="D1621" s="1">
        <v>29784</v>
      </c>
      <c r="E1621" s="1">
        <v>395329</v>
      </c>
      <c r="F1621" s="2">
        <v>38973</v>
      </c>
    </row>
    <row r="1622" spans="1:6" x14ac:dyDescent="0.25">
      <c r="A1622">
        <v>2017</v>
      </c>
      <c r="B1622" t="s">
        <v>54</v>
      </c>
      <c r="C1622" t="s">
        <v>39</v>
      </c>
      <c r="D1622" s="1">
        <v>8036</v>
      </c>
      <c r="E1622" s="1">
        <v>86427</v>
      </c>
      <c r="F1622" s="2">
        <v>38278</v>
      </c>
    </row>
    <row r="1623" spans="1:6" x14ac:dyDescent="0.25">
      <c r="A1623">
        <v>2017</v>
      </c>
      <c r="B1623" t="s">
        <v>54</v>
      </c>
      <c r="C1623" t="s">
        <v>40</v>
      </c>
      <c r="D1623" s="1">
        <v>39250</v>
      </c>
      <c r="E1623" s="1">
        <v>618046</v>
      </c>
      <c r="F1623" s="2">
        <v>44773</v>
      </c>
    </row>
    <row r="1624" spans="1:6" x14ac:dyDescent="0.25">
      <c r="A1624">
        <v>2017</v>
      </c>
      <c r="B1624" t="s">
        <v>54</v>
      </c>
      <c r="C1624" t="s">
        <v>41</v>
      </c>
      <c r="D1624" s="1">
        <v>145842</v>
      </c>
      <c r="E1624" s="1">
        <v>2432880</v>
      </c>
      <c r="F1624" s="2">
        <v>50316</v>
      </c>
    </row>
    <row r="1625" spans="1:6" x14ac:dyDescent="0.25">
      <c r="A1625">
        <v>2017</v>
      </c>
      <c r="B1625" t="s">
        <v>54</v>
      </c>
      <c r="C1625" t="s">
        <v>42</v>
      </c>
      <c r="D1625" s="1">
        <v>19048</v>
      </c>
      <c r="E1625" s="1">
        <v>276552</v>
      </c>
      <c r="F1625" s="2">
        <v>42378</v>
      </c>
    </row>
    <row r="1626" spans="1:6" x14ac:dyDescent="0.25">
      <c r="A1626">
        <v>2017</v>
      </c>
      <c r="B1626" t="s">
        <v>54</v>
      </c>
      <c r="C1626" t="s">
        <v>43</v>
      </c>
      <c r="D1626" s="1">
        <v>5138</v>
      </c>
      <c r="E1626" s="1">
        <v>55012</v>
      </c>
      <c r="F1626" s="2">
        <v>38650</v>
      </c>
    </row>
    <row r="1627" spans="1:6" x14ac:dyDescent="0.25">
      <c r="A1627">
        <v>2017</v>
      </c>
      <c r="B1627" t="s">
        <v>54</v>
      </c>
      <c r="C1627" t="s">
        <v>44</v>
      </c>
      <c r="D1627" s="1">
        <v>42996</v>
      </c>
      <c r="E1627" s="1">
        <v>652711</v>
      </c>
      <c r="F1627" s="2">
        <v>42291</v>
      </c>
    </row>
    <row r="1628" spans="1:6" x14ac:dyDescent="0.25">
      <c r="A1628">
        <v>2017</v>
      </c>
      <c r="B1628" t="s">
        <v>54</v>
      </c>
      <c r="C1628" t="s">
        <v>45</v>
      </c>
      <c r="D1628" s="1">
        <v>39715</v>
      </c>
      <c r="E1628" s="1">
        <v>610599</v>
      </c>
      <c r="F1628" s="2">
        <v>58924</v>
      </c>
    </row>
    <row r="1629" spans="1:6" x14ac:dyDescent="0.25">
      <c r="A1629">
        <v>2017</v>
      </c>
      <c r="B1629" t="s">
        <v>54</v>
      </c>
      <c r="C1629" t="s">
        <v>46</v>
      </c>
      <c r="D1629" s="1">
        <v>10925</v>
      </c>
      <c r="E1629" s="1">
        <v>129300</v>
      </c>
      <c r="F1629" s="2">
        <v>37489</v>
      </c>
    </row>
    <row r="1630" spans="1:6" x14ac:dyDescent="0.25">
      <c r="A1630">
        <v>2017</v>
      </c>
      <c r="B1630" t="s">
        <v>54</v>
      </c>
      <c r="C1630" t="s">
        <v>47</v>
      </c>
      <c r="D1630" s="1">
        <v>35433</v>
      </c>
      <c r="E1630" s="1">
        <v>539603</v>
      </c>
      <c r="F1630" s="2">
        <v>39831</v>
      </c>
    </row>
    <row r="1631" spans="1:6" x14ac:dyDescent="0.25">
      <c r="A1631">
        <v>2017</v>
      </c>
      <c r="B1631" t="s">
        <v>54</v>
      </c>
      <c r="C1631" t="s">
        <v>48</v>
      </c>
      <c r="D1631" s="1">
        <v>4822</v>
      </c>
      <c r="E1631" s="1">
        <v>49799</v>
      </c>
      <c r="F1631" s="2">
        <v>40999</v>
      </c>
    </row>
    <row r="1632" spans="1:6" x14ac:dyDescent="0.25">
      <c r="A1632">
        <v>2017</v>
      </c>
      <c r="B1632" t="s">
        <v>53</v>
      </c>
      <c r="C1632" t="s">
        <v>1</v>
      </c>
      <c r="D1632" s="1">
        <v>1969</v>
      </c>
      <c r="E1632" s="1">
        <v>20807</v>
      </c>
      <c r="F1632" s="2">
        <v>58932</v>
      </c>
    </row>
    <row r="1633" spans="1:6" x14ac:dyDescent="0.25">
      <c r="A1633">
        <v>2017</v>
      </c>
      <c r="B1633" t="s">
        <v>53</v>
      </c>
      <c r="C1633" t="s">
        <v>2</v>
      </c>
      <c r="D1633" s="1">
        <v>2461</v>
      </c>
      <c r="E1633" s="1">
        <v>44962</v>
      </c>
      <c r="F1633" s="2">
        <v>71171</v>
      </c>
    </row>
    <row r="1634" spans="1:6" x14ac:dyDescent="0.25">
      <c r="A1634">
        <v>2017</v>
      </c>
      <c r="B1634" t="s">
        <v>53</v>
      </c>
      <c r="C1634" t="s">
        <v>3</v>
      </c>
      <c r="D1634" s="1">
        <v>1123</v>
      </c>
      <c r="E1634" s="1">
        <v>12766</v>
      </c>
      <c r="F1634" s="2">
        <v>56682</v>
      </c>
    </row>
    <row r="1635" spans="1:6" x14ac:dyDescent="0.25">
      <c r="A1635">
        <v>2017</v>
      </c>
      <c r="B1635" t="s">
        <v>53</v>
      </c>
      <c r="C1635" t="s">
        <v>4</v>
      </c>
      <c r="D1635" s="1">
        <v>22519</v>
      </c>
      <c r="E1635" s="1">
        <v>513029</v>
      </c>
      <c r="F1635" s="2">
        <v>172309</v>
      </c>
    </row>
    <row r="1636" spans="1:6" x14ac:dyDescent="0.25">
      <c r="A1636">
        <v>2017</v>
      </c>
      <c r="B1636" t="s">
        <v>53</v>
      </c>
      <c r="C1636" t="s">
        <v>5</v>
      </c>
      <c r="D1636" s="1">
        <v>3891</v>
      </c>
      <c r="E1636" s="1">
        <v>71641</v>
      </c>
      <c r="F1636" s="2">
        <v>100781</v>
      </c>
    </row>
    <row r="1637" spans="1:6" x14ac:dyDescent="0.25">
      <c r="A1637">
        <v>2017</v>
      </c>
      <c r="B1637" t="s">
        <v>53</v>
      </c>
      <c r="C1637" t="s">
        <v>6</v>
      </c>
      <c r="D1637" s="1">
        <v>2146</v>
      </c>
      <c r="E1637" s="1">
        <v>31542</v>
      </c>
      <c r="F1637" s="2">
        <v>103094</v>
      </c>
    </row>
    <row r="1638" spans="1:6" x14ac:dyDescent="0.25">
      <c r="A1638">
        <v>2017</v>
      </c>
      <c r="B1638" t="s">
        <v>53</v>
      </c>
      <c r="C1638" t="s">
        <v>7</v>
      </c>
      <c r="D1638">
        <v>409</v>
      </c>
      <c r="E1638" s="1">
        <v>4560</v>
      </c>
      <c r="F1638" s="2">
        <v>64686</v>
      </c>
    </row>
    <row r="1639" spans="1:6" x14ac:dyDescent="0.25">
      <c r="A1639">
        <v>2017</v>
      </c>
      <c r="B1639" t="s">
        <v>53</v>
      </c>
      <c r="C1639" t="s">
        <v>8</v>
      </c>
      <c r="D1639" s="1">
        <v>10983</v>
      </c>
      <c r="E1639" s="1">
        <v>138039</v>
      </c>
      <c r="F1639" s="2">
        <v>80305</v>
      </c>
    </row>
    <row r="1640" spans="1:6" x14ac:dyDescent="0.25">
      <c r="A1640">
        <v>2017</v>
      </c>
      <c r="B1640" t="s">
        <v>53</v>
      </c>
      <c r="C1640" t="s">
        <v>9</v>
      </c>
      <c r="D1640" s="1">
        <v>4911</v>
      </c>
      <c r="E1640" s="1">
        <v>116074</v>
      </c>
      <c r="F1640" s="2">
        <v>96306</v>
      </c>
    </row>
    <row r="1641" spans="1:6" x14ac:dyDescent="0.25">
      <c r="A1641">
        <v>2017</v>
      </c>
      <c r="B1641" t="s">
        <v>53</v>
      </c>
      <c r="C1641" t="s">
        <v>10</v>
      </c>
      <c r="D1641" s="1">
        <v>1175</v>
      </c>
      <c r="E1641" s="1">
        <v>8923</v>
      </c>
      <c r="F1641" s="2">
        <v>51032</v>
      </c>
    </row>
    <row r="1642" spans="1:6" x14ac:dyDescent="0.25">
      <c r="A1642">
        <v>2017</v>
      </c>
      <c r="B1642" t="s">
        <v>53</v>
      </c>
      <c r="C1642" t="s">
        <v>11</v>
      </c>
      <c r="D1642" s="1">
        <v>6534</v>
      </c>
      <c r="E1642" s="1">
        <v>96181</v>
      </c>
      <c r="F1642" s="2">
        <v>85328</v>
      </c>
    </row>
    <row r="1643" spans="1:6" x14ac:dyDescent="0.25">
      <c r="A1643">
        <v>2017</v>
      </c>
      <c r="B1643" t="s">
        <v>53</v>
      </c>
      <c r="C1643" t="s">
        <v>12</v>
      </c>
      <c r="D1643" s="1">
        <v>2019</v>
      </c>
      <c r="E1643" s="1">
        <v>31465</v>
      </c>
      <c r="F1643" s="2">
        <v>59391</v>
      </c>
    </row>
    <row r="1644" spans="1:6" x14ac:dyDescent="0.25">
      <c r="A1644">
        <v>2017</v>
      </c>
      <c r="B1644" t="s">
        <v>53</v>
      </c>
      <c r="C1644" t="s">
        <v>13</v>
      </c>
      <c r="D1644" s="1">
        <v>1698</v>
      </c>
      <c r="E1644" s="1">
        <v>21891</v>
      </c>
      <c r="F1644" s="2">
        <v>55957</v>
      </c>
    </row>
    <row r="1645" spans="1:6" x14ac:dyDescent="0.25">
      <c r="A1645">
        <v>2017</v>
      </c>
      <c r="B1645" t="s">
        <v>53</v>
      </c>
      <c r="C1645" t="s">
        <v>14</v>
      </c>
      <c r="D1645" s="1">
        <v>1260</v>
      </c>
      <c r="E1645" s="1">
        <v>19279</v>
      </c>
      <c r="F1645" s="2">
        <v>61084</v>
      </c>
    </row>
    <row r="1646" spans="1:6" x14ac:dyDescent="0.25">
      <c r="A1646">
        <v>2017</v>
      </c>
      <c r="B1646" t="s">
        <v>53</v>
      </c>
      <c r="C1646" t="s">
        <v>15</v>
      </c>
      <c r="D1646" s="1">
        <v>1697</v>
      </c>
      <c r="E1646" s="1">
        <v>22698</v>
      </c>
      <c r="F1646" s="2">
        <v>54857</v>
      </c>
    </row>
    <row r="1647" spans="1:6" x14ac:dyDescent="0.25">
      <c r="A1647">
        <v>2017</v>
      </c>
      <c r="B1647" t="s">
        <v>53</v>
      </c>
      <c r="C1647" t="s">
        <v>16</v>
      </c>
      <c r="D1647" s="1">
        <v>1650</v>
      </c>
      <c r="E1647" s="1">
        <v>22941</v>
      </c>
      <c r="F1647" s="2">
        <v>55038</v>
      </c>
    </row>
    <row r="1648" spans="1:6" x14ac:dyDescent="0.25">
      <c r="A1648">
        <v>2017</v>
      </c>
      <c r="B1648" t="s">
        <v>53</v>
      </c>
      <c r="C1648" t="s">
        <v>17</v>
      </c>
      <c r="D1648">
        <v>843</v>
      </c>
      <c r="E1648" s="1">
        <v>7340</v>
      </c>
      <c r="F1648" s="2">
        <v>52561</v>
      </c>
    </row>
    <row r="1649" spans="1:6" x14ac:dyDescent="0.25">
      <c r="A1649">
        <v>2017</v>
      </c>
      <c r="B1649" t="s">
        <v>53</v>
      </c>
      <c r="C1649" t="s">
        <v>18</v>
      </c>
      <c r="D1649" s="1">
        <v>2719</v>
      </c>
      <c r="E1649" s="1">
        <v>37583</v>
      </c>
      <c r="F1649" s="2">
        <v>88009</v>
      </c>
    </row>
    <row r="1650" spans="1:6" x14ac:dyDescent="0.25">
      <c r="A1650">
        <v>2017</v>
      </c>
      <c r="B1650" t="s">
        <v>53</v>
      </c>
      <c r="C1650" t="s">
        <v>19</v>
      </c>
      <c r="D1650" s="1">
        <v>5143</v>
      </c>
      <c r="E1650" s="1">
        <v>91861</v>
      </c>
      <c r="F1650" s="2">
        <v>114166</v>
      </c>
    </row>
    <row r="1651" spans="1:6" x14ac:dyDescent="0.25">
      <c r="A1651">
        <v>2017</v>
      </c>
      <c r="B1651" t="s">
        <v>53</v>
      </c>
      <c r="C1651" t="s">
        <v>20</v>
      </c>
      <c r="D1651" s="1">
        <v>5934</v>
      </c>
      <c r="E1651" s="1">
        <v>56524</v>
      </c>
      <c r="F1651" s="2">
        <v>70884</v>
      </c>
    </row>
    <row r="1652" spans="1:6" x14ac:dyDescent="0.25">
      <c r="A1652">
        <v>2017</v>
      </c>
      <c r="B1652" t="s">
        <v>53</v>
      </c>
      <c r="C1652" t="s">
        <v>21</v>
      </c>
      <c r="D1652" s="1">
        <v>3663</v>
      </c>
      <c r="E1652" s="1">
        <v>50310</v>
      </c>
      <c r="F1652" s="2">
        <v>75459</v>
      </c>
    </row>
    <row r="1653" spans="1:6" x14ac:dyDescent="0.25">
      <c r="A1653">
        <v>2017</v>
      </c>
      <c r="B1653" t="s">
        <v>53</v>
      </c>
      <c r="C1653" t="s">
        <v>22</v>
      </c>
      <c r="D1653">
        <v>962</v>
      </c>
      <c r="E1653" s="1">
        <v>11593</v>
      </c>
      <c r="F1653" s="2">
        <v>48002</v>
      </c>
    </row>
    <row r="1654" spans="1:6" x14ac:dyDescent="0.25">
      <c r="A1654">
        <v>2017</v>
      </c>
      <c r="B1654" t="s">
        <v>53</v>
      </c>
      <c r="C1654" t="s">
        <v>23</v>
      </c>
      <c r="D1654" s="1">
        <v>3051</v>
      </c>
      <c r="E1654" s="1">
        <v>48249</v>
      </c>
      <c r="F1654" s="2">
        <v>73665</v>
      </c>
    </row>
    <row r="1655" spans="1:6" x14ac:dyDescent="0.25">
      <c r="A1655">
        <v>2017</v>
      </c>
      <c r="B1655" t="s">
        <v>53</v>
      </c>
      <c r="C1655" t="s">
        <v>24</v>
      </c>
      <c r="D1655">
        <v>759</v>
      </c>
      <c r="E1655" s="1">
        <v>6394</v>
      </c>
      <c r="F1655" s="2">
        <v>51903</v>
      </c>
    </row>
    <row r="1656" spans="1:6" x14ac:dyDescent="0.25">
      <c r="A1656">
        <v>2017</v>
      </c>
      <c r="B1656" t="s">
        <v>53</v>
      </c>
      <c r="C1656" t="s">
        <v>25</v>
      </c>
      <c r="D1656">
        <v>964</v>
      </c>
      <c r="E1656" s="1">
        <v>18204</v>
      </c>
      <c r="F1656" s="2">
        <v>61365</v>
      </c>
    </row>
    <row r="1657" spans="1:6" x14ac:dyDescent="0.25">
      <c r="A1657">
        <v>2017</v>
      </c>
      <c r="B1657" t="s">
        <v>53</v>
      </c>
      <c r="C1657" t="s">
        <v>26</v>
      </c>
      <c r="D1657" s="1">
        <v>1440</v>
      </c>
      <c r="E1657" s="1">
        <v>14735</v>
      </c>
      <c r="F1657" s="2">
        <v>65866</v>
      </c>
    </row>
    <row r="1658" spans="1:6" x14ac:dyDescent="0.25">
      <c r="A1658">
        <v>2017</v>
      </c>
      <c r="B1658" t="s">
        <v>53</v>
      </c>
      <c r="C1658" t="s">
        <v>27</v>
      </c>
      <c r="D1658">
        <v>843</v>
      </c>
      <c r="E1658" s="1">
        <v>12554</v>
      </c>
      <c r="F1658" s="2">
        <v>88119</v>
      </c>
    </row>
    <row r="1659" spans="1:6" x14ac:dyDescent="0.25">
      <c r="A1659">
        <v>2017</v>
      </c>
      <c r="B1659" t="s">
        <v>53</v>
      </c>
      <c r="C1659" t="s">
        <v>28</v>
      </c>
      <c r="D1659" s="1">
        <v>3595</v>
      </c>
      <c r="E1659" s="1">
        <v>70379</v>
      </c>
      <c r="F1659" s="2">
        <v>108638</v>
      </c>
    </row>
    <row r="1660" spans="1:6" x14ac:dyDescent="0.25">
      <c r="A1660">
        <v>2017</v>
      </c>
      <c r="B1660" t="s">
        <v>53</v>
      </c>
      <c r="C1660" t="s">
        <v>29</v>
      </c>
      <c r="D1660">
        <v>929</v>
      </c>
      <c r="E1660" s="1">
        <v>12398</v>
      </c>
      <c r="F1660" s="2">
        <v>51009</v>
      </c>
    </row>
    <row r="1661" spans="1:6" x14ac:dyDescent="0.25">
      <c r="A1661">
        <v>2017</v>
      </c>
      <c r="B1661" t="s">
        <v>53</v>
      </c>
      <c r="C1661" t="s">
        <v>30</v>
      </c>
      <c r="D1661" s="1">
        <v>12397</v>
      </c>
      <c r="E1661" s="1">
        <v>269233</v>
      </c>
      <c r="F1661" s="2">
        <v>119508</v>
      </c>
    </row>
    <row r="1662" spans="1:6" x14ac:dyDescent="0.25">
      <c r="A1662">
        <v>2017</v>
      </c>
      <c r="B1662" t="s">
        <v>53</v>
      </c>
      <c r="C1662" t="s">
        <v>31</v>
      </c>
      <c r="D1662" s="1">
        <v>5042</v>
      </c>
      <c r="E1662" s="1">
        <v>78826</v>
      </c>
      <c r="F1662" s="2">
        <v>80496</v>
      </c>
    </row>
    <row r="1663" spans="1:6" x14ac:dyDescent="0.25">
      <c r="A1663">
        <v>2017</v>
      </c>
      <c r="B1663" t="s">
        <v>53</v>
      </c>
      <c r="C1663" t="s">
        <v>32</v>
      </c>
      <c r="D1663">
        <v>396</v>
      </c>
      <c r="E1663" s="1">
        <v>6502</v>
      </c>
      <c r="F1663" s="2">
        <v>65114</v>
      </c>
    </row>
    <row r="1664" spans="1:6" x14ac:dyDescent="0.25">
      <c r="A1664">
        <v>2017</v>
      </c>
      <c r="B1664" t="s">
        <v>53</v>
      </c>
      <c r="C1664" t="s">
        <v>33</v>
      </c>
      <c r="D1664" s="1">
        <v>4456</v>
      </c>
      <c r="E1664" s="1">
        <v>71562</v>
      </c>
      <c r="F1664" s="2">
        <v>67912</v>
      </c>
    </row>
    <row r="1665" spans="1:6" x14ac:dyDescent="0.25">
      <c r="A1665">
        <v>2017</v>
      </c>
      <c r="B1665" t="s">
        <v>53</v>
      </c>
      <c r="C1665" t="s">
        <v>34</v>
      </c>
      <c r="D1665" s="1">
        <v>1491</v>
      </c>
      <c r="E1665" s="1">
        <v>20417</v>
      </c>
      <c r="F1665" s="2">
        <v>57922</v>
      </c>
    </row>
    <row r="1666" spans="1:6" x14ac:dyDescent="0.25">
      <c r="A1666">
        <v>2017</v>
      </c>
      <c r="B1666" t="s">
        <v>53</v>
      </c>
      <c r="C1666" t="s">
        <v>35</v>
      </c>
      <c r="D1666" s="1">
        <v>3521</v>
      </c>
      <c r="E1666" s="1">
        <v>34177</v>
      </c>
      <c r="F1666" s="2">
        <v>80210</v>
      </c>
    </row>
    <row r="1667" spans="1:6" x14ac:dyDescent="0.25">
      <c r="A1667">
        <v>2017</v>
      </c>
      <c r="B1667" t="s">
        <v>53</v>
      </c>
      <c r="C1667" t="s">
        <v>36</v>
      </c>
      <c r="D1667" s="1">
        <v>4664</v>
      </c>
      <c r="E1667" s="1">
        <v>83352</v>
      </c>
      <c r="F1667" s="2">
        <v>78987</v>
      </c>
    </row>
    <row r="1668" spans="1:6" x14ac:dyDescent="0.25">
      <c r="A1668">
        <v>2017</v>
      </c>
      <c r="B1668" t="s">
        <v>53</v>
      </c>
      <c r="C1668" t="s">
        <v>37</v>
      </c>
      <c r="D1668">
        <v>745</v>
      </c>
      <c r="E1668" s="1">
        <v>6125</v>
      </c>
      <c r="F1668" s="2">
        <v>70660</v>
      </c>
    </row>
    <row r="1669" spans="1:6" x14ac:dyDescent="0.25">
      <c r="A1669">
        <v>2017</v>
      </c>
      <c r="B1669" t="s">
        <v>53</v>
      </c>
      <c r="C1669" t="s">
        <v>38</v>
      </c>
      <c r="D1669" s="1">
        <v>2430</v>
      </c>
      <c r="E1669" s="1">
        <v>27428</v>
      </c>
      <c r="F1669" s="2">
        <v>61428</v>
      </c>
    </row>
    <row r="1670" spans="1:6" x14ac:dyDescent="0.25">
      <c r="A1670">
        <v>2017</v>
      </c>
      <c r="B1670" t="s">
        <v>53</v>
      </c>
      <c r="C1670" t="s">
        <v>39</v>
      </c>
      <c r="D1670">
        <v>561</v>
      </c>
      <c r="E1670" s="1">
        <v>5720</v>
      </c>
      <c r="F1670" s="2">
        <v>47231</v>
      </c>
    </row>
    <row r="1671" spans="1:6" x14ac:dyDescent="0.25">
      <c r="A1671">
        <v>2017</v>
      </c>
      <c r="B1671" t="s">
        <v>53</v>
      </c>
      <c r="C1671" t="s">
        <v>40</v>
      </c>
      <c r="D1671" s="1">
        <v>3260</v>
      </c>
      <c r="E1671" s="1">
        <v>45482</v>
      </c>
      <c r="F1671" s="2">
        <v>68381</v>
      </c>
    </row>
    <row r="1672" spans="1:6" x14ac:dyDescent="0.25">
      <c r="A1672">
        <v>2017</v>
      </c>
      <c r="B1672" t="s">
        <v>53</v>
      </c>
      <c r="C1672" t="s">
        <v>41</v>
      </c>
      <c r="D1672" s="1">
        <v>9521</v>
      </c>
      <c r="E1672" s="1">
        <v>201873</v>
      </c>
      <c r="F1672" s="2">
        <v>84394</v>
      </c>
    </row>
    <row r="1673" spans="1:6" x14ac:dyDescent="0.25">
      <c r="A1673">
        <v>2017</v>
      </c>
      <c r="B1673" t="s">
        <v>53</v>
      </c>
      <c r="C1673" t="s">
        <v>42</v>
      </c>
      <c r="D1673" s="1">
        <v>2347</v>
      </c>
      <c r="E1673" s="1">
        <v>37185</v>
      </c>
      <c r="F1673" s="2">
        <v>71167</v>
      </c>
    </row>
    <row r="1674" spans="1:6" x14ac:dyDescent="0.25">
      <c r="A1674">
        <v>2017</v>
      </c>
      <c r="B1674" t="s">
        <v>53</v>
      </c>
      <c r="C1674" t="s">
        <v>43</v>
      </c>
      <c r="D1674">
        <v>503</v>
      </c>
      <c r="E1674" s="1">
        <v>4478</v>
      </c>
      <c r="F1674" s="2">
        <v>58372</v>
      </c>
    </row>
    <row r="1675" spans="1:6" x14ac:dyDescent="0.25">
      <c r="A1675">
        <v>2017</v>
      </c>
      <c r="B1675" t="s">
        <v>53</v>
      </c>
      <c r="C1675" t="s">
        <v>44</v>
      </c>
      <c r="D1675" s="1">
        <v>4222</v>
      </c>
      <c r="E1675" s="1">
        <v>67623</v>
      </c>
      <c r="F1675" s="2">
        <v>98219</v>
      </c>
    </row>
    <row r="1676" spans="1:6" x14ac:dyDescent="0.25">
      <c r="A1676">
        <v>2017</v>
      </c>
      <c r="B1676" t="s">
        <v>53</v>
      </c>
      <c r="C1676" t="s">
        <v>45</v>
      </c>
      <c r="D1676" s="1">
        <v>4271</v>
      </c>
      <c r="E1676" s="1">
        <v>125798</v>
      </c>
      <c r="F1676" s="2">
        <v>172513</v>
      </c>
    </row>
    <row r="1677" spans="1:6" x14ac:dyDescent="0.25">
      <c r="A1677">
        <v>2017</v>
      </c>
      <c r="B1677" t="s">
        <v>53</v>
      </c>
      <c r="C1677" t="s">
        <v>46</v>
      </c>
      <c r="D1677">
        <v>764</v>
      </c>
      <c r="E1677" s="1">
        <v>8615</v>
      </c>
      <c r="F1677" s="2">
        <v>50474</v>
      </c>
    </row>
    <row r="1678" spans="1:6" x14ac:dyDescent="0.25">
      <c r="A1678">
        <v>2017</v>
      </c>
      <c r="B1678" t="s">
        <v>53</v>
      </c>
      <c r="C1678" t="s">
        <v>47</v>
      </c>
      <c r="D1678" s="1">
        <v>2126</v>
      </c>
      <c r="E1678" s="1">
        <v>47658</v>
      </c>
      <c r="F1678" s="2">
        <v>71912</v>
      </c>
    </row>
    <row r="1679" spans="1:6" x14ac:dyDescent="0.25">
      <c r="A1679">
        <v>2017</v>
      </c>
      <c r="B1679" t="s">
        <v>53</v>
      </c>
      <c r="C1679" t="s">
        <v>48</v>
      </c>
      <c r="D1679">
        <v>389</v>
      </c>
      <c r="E1679" s="1">
        <v>3680</v>
      </c>
      <c r="F1679" s="2">
        <v>46375</v>
      </c>
    </row>
    <row r="1680" spans="1:6" x14ac:dyDescent="0.25">
      <c r="A1680">
        <v>2017</v>
      </c>
      <c r="B1680" t="s">
        <v>56</v>
      </c>
      <c r="C1680" t="s">
        <v>1</v>
      </c>
      <c r="D1680" s="1">
        <v>13089</v>
      </c>
      <c r="E1680" s="1">
        <v>94756</v>
      </c>
      <c r="F1680" s="2">
        <v>66324</v>
      </c>
    </row>
    <row r="1681" spans="1:6" x14ac:dyDescent="0.25">
      <c r="A1681">
        <v>2017</v>
      </c>
      <c r="B1681" t="s">
        <v>56</v>
      </c>
      <c r="C1681" t="s">
        <v>2</v>
      </c>
      <c r="D1681" s="1">
        <v>15754</v>
      </c>
      <c r="E1681" s="1">
        <v>206540</v>
      </c>
      <c r="F1681" s="2">
        <v>68059</v>
      </c>
    </row>
    <row r="1682" spans="1:6" x14ac:dyDescent="0.25">
      <c r="A1682">
        <v>2017</v>
      </c>
      <c r="B1682" t="s">
        <v>56</v>
      </c>
      <c r="C1682" t="s">
        <v>3</v>
      </c>
      <c r="D1682" s="1">
        <v>8251</v>
      </c>
      <c r="E1682" s="1">
        <v>49596</v>
      </c>
      <c r="F1682" s="2">
        <v>55939</v>
      </c>
    </row>
    <row r="1683" spans="1:6" x14ac:dyDescent="0.25">
      <c r="A1683">
        <v>2017</v>
      </c>
      <c r="B1683" t="s">
        <v>56</v>
      </c>
      <c r="C1683" t="s">
        <v>4</v>
      </c>
      <c r="D1683" s="1">
        <v>98024</v>
      </c>
      <c r="E1683" s="1">
        <v>827494</v>
      </c>
      <c r="F1683" s="2">
        <v>104466</v>
      </c>
    </row>
    <row r="1684" spans="1:6" x14ac:dyDescent="0.25">
      <c r="A1684">
        <v>2017</v>
      </c>
      <c r="B1684" t="s">
        <v>56</v>
      </c>
      <c r="C1684" t="s">
        <v>5</v>
      </c>
      <c r="D1684" s="1">
        <v>22552</v>
      </c>
      <c r="E1684" s="1">
        <v>161870</v>
      </c>
      <c r="F1684" s="2">
        <v>81536</v>
      </c>
    </row>
    <row r="1685" spans="1:6" x14ac:dyDescent="0.25">
      <c r="A1685">
        <v>2017</v>
      </c>
      <c r="B1685" t="s">
        <v>56</v>
      </c>
      <c r="C1685" t="s">
        <v>6</v>
      </c>
      <c r="D1685" s="1">
        <v>10779</v>
      </c>
      <c r="E1685" s="1">
        <v>126051</v>
      </c>
      <c r="F1685" s="2">
        <v>152598</v>
      </c>
    </row>
    <row r="1686" spans="1:6" x14ac:dyDescent="0.25">
      <c r="A1686">
        <v>2017</v>
      </c>
      <c r="B1686" t="s">
        <v>56</v>
      </c>
      <c r="C1686" t="s">
        <v>7</v>
      </c>
      <c r="D1686" s="1">
        <v>2800</v>
      </c>
      <c r="E1686" s="1">
        <v>47894</v>
      </c>
      <c r="F1686" s="2">
        <v>92267</v>
      </c>
    </row>
    <row r="1687" spans="1:6" x14ac:dyDescent="0.25">
      <c r="A1687">
        <v>2017</v>
      </c>
      <c r="B1687" t="s">
        <v>56</v>
      </c>
      <c r="C1687" t="s">
        <v>8</v>
      </c>
      <c r="D1687" s="1">
        <v>71616</v>
      </c>
      <c r="E1687" s="1">
        <v>556510</v>
      </c>
      <c r="F1687" s="2">
        <v>72708</v>
      </c>
    </row>
    <row r="1688" spans="1:6" x14ac:dyDescent="0.25">
      <c r="A1688">
        <v>2017</v>
      </c>
      <c r="B1688" t="s">
        <v>56</v>
      </c>
      <c r="C1688" t="s">
        <v>9</v>
      </c>
      <c r="D1688" s="1">
        <v>25978</v>
      </c>
      <c r="E1688" s="1">
        <v>233995</v>
      </c>
      <c r="F1688" s="2">
        <v>81197</v>
      </c>
    </row>
    <row r="1689" spans="1:6" x14ac:dyDescent="0.25">
      <c r="A1689">
        <v>2017</v>
      </c>
      <c r="B1689" t="s">
        <v>56</v>
      </c>
      <c r="C1689" t="s">
        <v>10</v>
      </c>
      <c r="D1689" s="1">
        <v>5522</v>
      </c>
      <c r="E1689" s="1">
        <v>31064</v>
      </c>
      <c r="F1689" s="2">
        <v>53820</v>
      </c>
    </row>
    <row r="1690" spans="1:6" x14ac:dyDescent="0.25">
      <c r="A1690">
        <v>2017</v>
      </c>
      <c r="B1690" t="s">
        <v>56</v>
      </c>
      <c r="C1690" t="s">
        <v>11</v>
      </c>
      <c r="D1690" s="1">
        <v>32114</v>
      </c>
      <c r="E1690" s="1">
        <v>370517</v>
      </c>
      <c r="F1690" s="2">
        <v>104689</v>
      </c>
    </row>
    <row r="1691" spans="1:6" x14ac:dyDescent="0.25">
      <c r="A1691">
        <v>2017</v>
      </c>
      <c r="B1691" t="s">
        <v>56</v>
      </c>
      <c r="C1691" t="s">
        <v>12</v>
      </c>
      <c r="D1691" s="1">
        <v>16124</v>
      </c>
      <c r="E1691" s="1">
        <v>131758</v>
      </c>
      <c r="F1691" s="2">
        <v>62518</v>
      </c>
    </row>
    <row r="1692" spans="1:6" x14ac:dyDescent="0.25">
      <c r="A1692">
        <v>2017</v>
      </c>
      <c r="B1692" t="s">
        <v>56</v>
      </c>
      <c r="C1692" t="s">
        <v>13</v>
      </c>
      <c r="D1692" s="1">
        <v>9983</v>
      </c>
      <c r="E1692" s="1">
        <v>108983</v>
      </c>
      <c r="F1692" s="2">
        <v>71597</v>
      </c>
    </row>
    <row r="1693" spans="1:6" x14ac:dyDescent="0.25">
      <c r="A1693">
        <v>2017</v>
      </c>
      <c r="B1693" t="s">
        <v>56</v>
      </c>
      <c r="C1693" t="s">
        <v>14</v>
      </c>
      <c r="D1693" s="1">
        <v>8858</v>
      </c>
      <c r="E1693" s="1">
        <v>74321</v>
      </c>
      <c r="F1693" s="2">
        <v>65845</v>
      </c>
    </row>
    <row r="1694" spans="1:6" x14ac:dyDescent="0.25">
      <c r="A1694">
        <v>2017</v>
      </c>
      <c r="B1694" t="s">
        <v>56</v>
      </c>
      <c r="C1694" t="s">
        <v>15</v>
      </c>
      <c r="D1694" s="1">
        <v>10845</v>
      </c>
      <c r="E1694" s="1">
        <v>93126</v>
      </c>
      <c r="F1694" s="2">
        <v>64967</v>
      </c>
    </row>
    <row r="1695" spans="1:6" x14ac:dyDescent="0.25">
      <c r="A1695">
        <v>2017</v>
      </c>
      <c r="B1695" t="s">
        <v>56</v>
      </c>
      <c r="C1695" t="s">
        <v>16</v>
      </c>
      <c r="D1695" s="1">
        <v>13618</v>
      </c>
      <c r="E1695" s="1">
        <v>85771</v>
      </c>
      <c r="F1695" s="2">
        <v>59758</v>
      </c>
    </row>
    <row r="1696" spans="1:6" x14ac:dyDescent="0.25">
      <c r="A1696">
        <v>2017</v>
      </c>
      <c r="B1696" t="s">
        <v>56</v>
      </c>
      <c r="C1696" t="s">
        <v>17</v>
      </c>
      <c r="D1696" s="1">
        <v>3827</v>
      </c>
      <c r="E1696" s="1">
        <v>29417</v>
      </c>
      <c r="F1696" s="2">
        <v>65934</v>
      </c>
    </row>
    <row r="1697" spans="1:6" x14ac:dyDescent="0.25">
      <c r="A1697">
        <v>2017</v>
      </c>
      <c r="B1697" t="s">
        <v>56</v>
      </c>
      <c r="C1697" t="s">
        <v>18</v>
      </c>
      <c r="D1697" s="1">
        <v>15099</v>
      </c>
      <c r="E1697" s="1">
        <v>140287</v>
      </c>
      <c r="F1697" s="2">
        <v>90791</v>
      </c>
    </row>
    <row r="1698" spans="1:6" x14ac:dyDescent="0.25">
      <c r="A1698">
        <v>2017</v>
      </c>
      <c r="B1698" t="s">
        <v>56</v>
      </c>
      <c r="C1698" t="s">
        <v>19</v>
      </c>
      <c r="D1698" s="1">
        <v>17270</v>
      </c>
      <c r="E1698" s="1">
        <v>216567</v>
      </c>
      <c r="F1698" s="2">
        <v>136040</v>
      </c>
    </row>
    <row r="1699" spans="1:6" x14ac:dyDescent="0.25">
      <c r="A1699">
        <v>2017</v>
      </c>
      <c r="B1699" t="s">
        <v>56</v>
      </c>
      <c r="C1699" t="s">
        <v>20</v>
      </c>
      <c r="D1699" s="1">
        <v>18942</v>
      </c>
      <c r="E1699" s="1">
        <v>202358</v>
      </c>
      <c r="F1699" s="2">
        <v>69275</v>
      </c>
    </row>
    <row r="1700" spans="1:6" x14ac:dyDescent="0.25">
      <c r="A1700">
        <v>2017</v>
      </c>
      <c r="B1700" t="s">
        <v>56</v>
      </c>
      <c r="C1700" t="s">
        <v>21</v>
      </c>
      <c r="D1700" s="1">
        <v>15467</v>
      </c>
      <c r="E1700" s="1">
        <v>175945</v>
      </c>
      <c r="F1700" s="2">
        <v>91036</v>
      </c>
    </row>
    <row r="1701" spans="1:6" x14ac:dyDescent="0.25">
      <c r="A1701">
        <v>2017</v>
      </c>
      <c r="B1701" t="s">
        <v>56</v>
      </c>
      <c r="C1701" t="s">
        <v>22</v>
      </c>
      <c r="D1701" s="1">
        <v>7854</v>
      </c>
      <c r="E1701" s="1">
        <v>42981</v>
      </c>
      <c r="F1701" s="2">
        <v>51222</v>
      </c>
    </row>
    <row r="1702" spans="1:6" x14ac:dyDescent="0.25">
      <c r="A1702">
        <v>2017</v>
      </c>
      <c r="B1702" t="s">
        <v>56</v>
      </c>
      <c r="C1702" t="s">
        <v>23</v>
      </c>
      <c r="D1702" s="1">
        <v>17661</v>
      </c>
      <c r="E1702" s="1">
        <v>163353</v>
      </c>
      <c r="F1702" s="2">
        <v>68974</v>
      </c>
    </row>
    <row r="1703" spans="1:6" x14ac:dyDescent="0.25">
      <c r="A1703">
        <v>2017</v>
      </c>
      <c r="B1703" t="s">
        <v>56</v>
      </c>
      <c r="C1703" t="s">
        <v>24</v>
      </c>
      <c r="D1703" s="1">
        <v>4178</v>
      </c>
      <c r="E1703" s="1">
        <v>20935</v>
      </c>
      <c r="F1703" s="2">
        <v>56708</v>
      </c>
    </row>
    <row r="1704" spans="1:6" x14ac:dyDescent="0.25">
      <c r="A1704">
        <v>2017</v>
      </c>
      <c r="B1704" t="s">
        <v>56</v>
      </c>
      <c r="C1704" t="s">
        <v>25</v>
      </c>
      <c r="D1704" s="1">
        <v>6481</v>
      </c>
      <c r="E1704" s="1">
        <v>66237</v>
      </c>
      <c r="F1704" s="2">
        <v>63484</v>
      </c>
    </row>
    <row r="1705" spans="1:6" x14ac:dyDescent="0.25">
      <c r="A1705">
        <v>2017</v>
      </c>
      <c r="B1705" t="s">
        <v>56</v>
      </c>
      <c r="C1705" t="s">
        <v>26</v>
      </c>
      <c r="D1705" s="1">
        <v>8856</v>
      </c>
      <c r="E1705" s="1">
        <v>61375</v>
      </c>
      <c r="F1705" s="2">
        <v>63979</v>
      </c>
    </row>
    <row r="1706" spans="1:6" x14ac:dyDescent="0.25">
      <c r="A1706">
        <v>2017</v>
      </c>
      <c r="B1706" t="s">
        <v>56</v>
      </c>
      <c r="C1706" t="s">
        <v>27</v>
      </c>
      <c r="D1706" s="1">
        <v>3835</v>
      </c>
      <c r="E1706" s="1">
        <v>33894</v>
      </c>
      <c r="F1706" s="2">
        <v>91139</v>
      </c>
    </row>
    <row r="1707" spans="1:6" x14ac:dyDescent="0.25">
      <c r="A1707">
        <v>2017</v>
      </c>
      <c r="B1707" t="s">
        <v>56</v>
      </c>
      <c r="C1707" t="s">
        <v>28</v>
      </c>
      <c r="D1707" s="1">
        <v>19625</v>
      </c>
      <c r="E1707" s="1">
        <v>241026</v>
      </c>
      <c r="F1707" s="2">
        <v>111862</v>
      </c>
    </row>
    <row r="1708" spans="1:6" x14ac:dyDescent="0.25">
      <c r="A1708">
        <v>2017</v>
      </c>
      <c r="B1708" t="s">
        <v>56</v>
      </c>
      <c r="C1708" t="s">
        <v>29</v>
      </c>
      <c r="D1708" s="1">
        <v>5092</v>
      </c>
      <c r="E1708" s="1">
        <v>32604</v>
      </c>
      <c r="F1708" s="2">
        <v>53932</v>
      </c>
    </row>
    <row r="1709" spans="1:6" x14ac:dyDescent="0.25">
      <c r="A1709">
        <v>2017</v>
      </c>
      <c r="B1709" t="s">
        <v>56</v>
      </c>
      <c r="C1709" t="s">
        <v>30</v>
      </c>
      <c r="D1709" s="1">
        <v>65326</v>
      </c>
      <c r="E1709" s="1">
        <v>708995</v>
      </c>
      <c r="F1709" s="2">
        <v>189559</v>
      </c>
    </row>
    <row r="1710" spans="1:6" x14ac:dyDescent="0.25">
      <c r="A1710">
        <v>2017</v>
      </c>
      <c r="B1710" t="s">
        <v>56</v>
      </c>
      <c r="C1710" t="s">
        <v>31</v>
      </c>
      <c r="D1710" s="1">
        <v>27332</v>
      </c>
      <c r="E1710" s="1">
        <v>226679</v>
      </c>
      <c r="F1710" s="2">
        <v>82975</v>
      </c>
    </row>
    <row r="1711" spans="1:6" x14ac:dyDescent="0.25">
      <c r="A1711">
        <v>2017</v>
      </c>
      <c r="B1711" t="s">
        <v>56</v>
      </c>
      <c r="C1711" t="s">
        <v>32</v>
      </c>
      <c r="D1711" s="1">
        <v>2979</v>
      </c>
      <c r="E1711" s="1">
        <v>23135</v>
      </c>
      <c r="F1711" s="2">
        <v>60044</v>
      </c>
    </row>
    <row r="1712" spans="1:6" x14ac:dyDescent="0.25">
      <c r="A1712">
        <v>2017</v>
      </c>
      <c r="B1712" t="s">
        <v>56</v>
      </c>
      <c r="C1712" t="s">
        <v>33</v>
      </c>
      <c r="D1712" s="1">
        <v>28537</v>
      </c>
      <c r="E1712" s="1">
        <v>288615</v>
      </c>
      <c r="F1712" s="2">
        <v>69967</v>
      </c>
    </row>
    <row r="1713" spans="1:6" x14ac:dyDescent="0.25">
      <c r="A1713">
        <v>2017</v>
      </c>
      <c r="B1713" t="s">
        <v>56</v>
      </c>
      <c r="C1713" t="s">
        <v>34</v>
      </c>
      <c r="D1713" s="1">
        <v>11379</v>
      </c>
      <c r="E1713" s="1">
        <v>76757</v>
      </c>
      <c r="F1713" s="2">
        <v>56323</v>
      </c>
    </row>
    <row r="1714" spans="1:6" x14ac:dyDescent="0.25">
      <c r="A1714">
        <v>2017</v>
      </c>
      <c r="B1714" t="s">
        <v>56</v>
      </c>
      <c r="C1714" t="s">
        <v>35</v>
      </c>
      <c r="D1714" s="1">
        <v>12686</v>
      </c>
      <c r="E1714" s="1">
        <v>83715</v>
      </c>
      <c r="F1714" s="2">
        <v>67638</v>
      </c>
    </row>
    <row r="1715" spans="1:6" x14ac:dyDescent="0.25">
      <c r="A1715">
        <v>2017</v>
      </c>
      <c r="B1715" t="s">
        <v>56</v>
      </c>
      <c r="C1715" t="s">
        <v>36</v>
      </c>
      <c r="D1715" s="1">
        <v>28479</v>
      </c>
      <c r="E1715" s="1">
        <v>321121</v>
      </c>
      <c r="F1715" s="2">
        <v>85405</v>
      </c>
    </row>
    <row r="1716" spans="1:6" x14ac:dyDescent="0.25">
      <c r="A1716">
        <v>2017</v>
      </c>
      <c r="B1716" t="s">
        <v>56</v>
      </c>
      <c r="C1716" t="s">
        <v>37</v>
      </c>
      <c r="D1716" s="1">
        <v>2802</v>
      </c>
      <c r="E1716" s="1">
        <v>32758</v>
      </c>
      <c r="F1716" s="2">
        <v>89570</v>
      </c>
    </row>
    <row r="1717" spans="1:6" x14ac:dyDescent="0.25">
      <c r="A1717">
        <v>2017</v>
      </c>
      <c r="B1717" t="s">
        <v>56</v>
      </c>
      <c r="C1717" t="s">
        <v>38</v>
      </c>
      <c r="D1717" s="1">
        <v>12653</v>
      </c>
      <c r="E1717" s="1">
        <v>98790</v>
      </c>
      <c r="F1717" s="2">
        <v>59859</v>
      </c>
    </row>
    <row r="1718" spans="1:6" x14ac:dyDescent="0.25">
      <c r="A1718">
        <v>2017</v>
      </c>
      <c r="B1718" t="s">
        <v>56</v>
      </c>
      <c r="C1718" t="s">
        <v>39</v>
      </c>
      <c r="D1718" s="1">
        <v>3221</v>
      </c>
      <c r="E1718" s="1">
        <v>28761</v>
      </c>
      <c r="F1718" s="2">
        <v>57506</v>
      </c>
    </row>
    <row r="1719" spans="1:6" x14ac:dyDescent="0.25">
      <c r="A1719">
        <v>2017</v>
      </c>
      <c r="B1719" t="s">
        <v>56</v>
      </c>
      <c r="C1719" t="s">
        <v>40</v>
      </c>
      <c r="D1719" s="1">
        <v>15531</v>
      </c>
      <c r="E1719" s="1">
        <v>148433</v>
      </c>
      <c r="F1719" s="2">
        <v>71601</v>
      </c>
    </row>
    <row r="1720" spans="1:6" x14ac:dyDescent="0.25">
      <c r="A1720">
        <v>2017</v>
      </c>
      <c r="B1720" t="s">
        <v>56</v>
      </c>
      <c r="C1720" t="s">
        <v>41</v>
      </c>
      <c r="D1720" s="1">
        <v>71279</v>
      </c>
      <c r="E1720" s="1">
        <v>740328</v>
      </c>
      <c r="F1720" s="2">
        <v>80242</v>
      </c>
    </row>
    <row r="1721" spans="1:6" x14ac:dyDescent="0.25">
      <c r="A1721">
        <v>2017</v>
      </c>
      <c r="B1721" t="s">
        <v>56</v>
      </c>
      <c r="C1721" t="s">
        <v>42</v>
      </c>
      <c r="D1721" s="1">
        <v>11066</v>
      </c>
      <c r="E1721" s="1">
        <v>84072</v>
      </c>
      <c r="F1721" s="2">
        <v>64760</v>
      </c>
    </row>
    <row r="1722" spans="1:6" x14ac:dyDescent="0.25">
      <c r="A1722">
        <v>2017</v>
      </c>
      <c r="B1722" t="s">
        <v>56</v>
      </c>
      <c r="C1722" t="s">
        <v>43</v>
      </c>
      <c r="D1722" s="1">
        <v>1700</v>
      </c>
      <c r="E1722" s="1">
        <v>11731</v>
      </c>
      <c r="F1722" s="2">
        <v>70768</v>
      </c>
    </row>
    <row r="1723" spans="1:6" x14ac:dyDescent="0.25">
      <c r="A1723">
        <v>2017</v>
      </c>
      <c r="B1723" t="s">
        <v>56</v>
      </c>
      <c r="C1723" t="s">
        <v>44</v>
      </c>
      <c r="D1723" s="1">
        <v>21609</v>
      </c>
      <c r="E1723" s="1">
        <v>192079</v>
      </c>
      <c r="F1723" s="2">
        <v>82201</v>
      </c>
    </row>
    <row r="1724" spans="1:6" x14ac:dyDescent="0.25">
      <c r="A1724">
        <v>2017</v>
      </c>
      <c r="B1724" t="s">
        <v>56</v>
      </c>
      <c r="C1724" t="s">
        <v>45</v>
      </c>
      <c r="D1724" s="1">
        <v>17184</v>
      </c>
      <c r="E1724" s="1">
        <v>144458</v>
      </c>
      <c r="F1724" s="2">
        <v>76957</v>
      </c>
    </row>
    <row r="1725" spans="1:6" x14ac:dyDescent="0.25">
      <c r="A1725">
        <v>2017</v>
      </c>
      <c r="B1725" t="s">
        <v>56</v>
      </c>
      <c r="C1725" t="s">
        <v>46</v>
      </c>
      <c r="D1725" s="1">
        <v>3992</v>
      </c>
      <c r="E1725" s="1">
        <v>24123</v>
      </c>
      <c r="F1725" s="2">
        <v>50354</v>
      </c>
    </row>
    <row r="1726" spans="1:6" x14ac:dyDescent="0.25">
      <c r="A1726">
        <v>2017</v>
      </c>
      <c r="B1726" t="s">
        <v>56</v>
      </c>
      <c r="C1726" t="s">
        <v>47</v>
      </c>
      <c r="D1726" s="1">
        <v>13244</v>
      </c>
      <c r="E1726" s="1">
        <v>148873</v>
      </c>
      <c r="F1726" s="2">
        <v>68759</v>
      </c>
    </row>
    <row r="1727" spans="1:6" x14ac:dyDescent="0.25">
      <c r="A1727">
        <v>2017</v>
      </c>
      <c r="B1727" t="s">
        <v>56</v>
      </c>
      <c r="C1727" t="s">
        <v>48</v>
      </c>
      <c r="D1727" s="1">
        <v>2248</v>
      </c>
      <c r="E1727" s="1">
        <v>10938</v>
      </c>
      <c r="F1727" s="2">
        <v>54692</v>
      </c>
    </row>
    <row r="1728" spans="1:6" x14ac:dyDescent="0.25">
      <c r="A1728">
        <v>2017</v>
      </c>
      <c r="B1728" t="s">
        <v>57</v>
      </c>
      <c r="C1728" t="s">
        <v>1</v>
      </c>
      <c r="D1728" s="1">
        <v>21426</v>
      </c>
      <c r="E1728" s="1">
        <v>239356</v>
      </c>
      <c r="F1728" s="2">
        <v>53774</v>
      </c>
    </row>
    <row r="1729" spans="1:6" x14ac:dyDescent="0.25">
      <c r="A1729">
        <v>2017</v>
      </c>
      <c r="B1729" t="s">
        <v>57</v>
      </c>
      <c r="C1729" t="s">
        <v>2</v>
      </c>
      <c r="D1729" s="1">
        <v>31059</v>
      </c>
      <c r="E1729" s="1">
        <v>417456</v>
      </c>
      <c r="F1729" s="2">
        <v>55334</v>
      </c>
    </row>
    <row r="1730" spans="1:6" x14ac:dyDescent="0.25">
      <c r="A1730">
        <v>2017</v>
      </c>
      <c r="B1730" t="s">
        <v>57</v>
      </c>
      <c r="C1730" t="s">
        <v>3</v>
      </c>
      <c r="D1730" s="1">
        <v>13845</v>
      </c>
      <c r="E1730" s="1">
        <v>144215</v>
      </c>
      <c r="F1730" s="2">
        <v>59263</v>
      </c>
    </row>
    <row r="1731" spans="1:6" x14ac:dyDescent="0.25">
      <c r="A1731">
        <v>2017</v>
      </c>
      <c r="B1731" t="s">
        <v>57</v>
      </c>
      <c r="C1731" t="s">
        <v>4</v>
      </c>
      <c r="D1731" s="1">
        <v>188712</v>
      </c>
      <c r="E1731" s="1">
        <v>2551444</v>
      </c>
      <c r="F1731" s="2">
        <v>86955</v>
      </c>
    </row>
    <row r="1732" spans="1:6" x14ac:dyDescent="0.25">
      <c r="A1732">
        <v>2017</v>
      </c>
      <c r="B1732" t="s">
        <v>57</v>
      </c>
      <c r="C1732" t="s">
        <v>5</v>
      </c>
      <c r="D1732" s="1">
        <v>50576</v>
      </c>
      <c r="E1732" s="1">
        <v>412889</v>
      </c>
      <c r="F1732" s="2">
        <v>78698</v>
      </c>
    </row>
    <row r="1733" spans="1:6" x14ac:dyDescent="0.25">
      <c r="A1733">
        <v>2017</v>
      </c>
      <c r="B1733" t="s">
        <v>57</v>
      </c>
      <c r="C1733" t="s">
        <v>6</v>
      </c>
      <c r="D1733" s="1">
        <v>22807</v>
      </c>
      <c r="E1733" s="1">
        <v>218450</v>
      </c>
      <c r="F1733" s="2">
        <v>87307</v>
      </c>
    </row>
    <row r="1734" spans="1:6" x14ac:dyDescent="0.25">
      <c r="A1734">
        <v>2017</v>
      </c>
      <c r="B1734" t="s">
        <v>57</v>
      </c>
      <c r="C1734" t="s">
        <v>7</v>
      </c>
      <c r="D1734" s="1">
        <v>8644</v>
      </c>
      <c r="E1734" s="1">
        <v>61956</v>
      </c>
      <c r="F1734" s="2">
        <v>80600</v>
      </c>
    </row>
    <row r="1735" spans="1:6" x14ac:dyDescent="0.25">
      <c r="A1735">
        <v>2017</v>
      </c>
      <c r="B1735" t="s">
        <v>57</v>
      </c>
      <c r="C1735" t="s">
        <v>8</v>
      </c>
      <c r="D1735" s="1">
        <v>156978</v>
      </c>
      <c r="E1735" s="1">
        <v>1322562</v>
      </c>
      <c r="F1735" s="2">
        <v>58653</v>
      </c>
    </row>
    <row r="1736" spans="1:6" x14ac:dyDescent="0.25">
      <c r="A1736">
        <v>2017</v>
      </c>
      <c r="B1736" t="s">
        <v>57</v>
      </c>
      <c r="C1736" t="s">
        <v>9</v>
      </c>
      <c r="D1736" s="1">
        <v>54102</v>
      </c>
      <c r="E1736" s="1">
        <v>668820</v>
      </c>
      <c r="F1736" s="2">
        <v>64724</v>
      </c>
    </row>
    <row r="1737" spans="1:6" x14ac:dyDescent="0.25">
      <c r="A1737">
        <v>2017</v>
      </c>
      <c r="B1737" t="s">
        <v>57</v>
      </c>
      <c r="C1737" t="s">
        <v>10</v>
      </c>
      <c r="D1737" s="1">
        <v>11075</v>
      </c>
      <c r="E1737" s="1">
        <v>88110</v>
      </c>
      <c r="F1737" s="2">
        <v>48653</v>
      </c>
    </row>
    <row r="1738" spans="1:6" x14ac:dyDescent="0.25">
      <c r="A1738">
        <v>2017</v>
      </c>
      <c r="B1738" t="s">
        <v>57</v>
      </c>
      <c r="C1738" t="s">
        <v>11</v>
      </c>
      <c r="D1738" s="1">
        <v>73447</v>
      </c>
      <c r="E1738" s="1">
        <v>942202</v>
      </c>
      <c r="F1738" s="2">
        <v>73829</v>
      </c>
    </row>
    <row r="1739" spans="1:6" x14ac:dyDescent="0.25">
      <c r="A1739">
        <v>2017</v>
      </c>
      <c r="B1739" t="s">
        <v>57</v>
      </c>
      <c r="C1739" t="s">
        <v>12</v>
      </c>
      <c r="D1739" s="1">
        <v>29045</v>
      </c>
      <c r="E1739" s="1">
        <v>336985</v>
      </c>
      <c r="F1739" s="2">
        <v>50796</v>
      </c>
    </row>
    <row r="1740" spans="1:6" x14ac:dyDescent="0.25">
      <c r="A1740">
        <v>2017</v>
      </c>
      <c r="B1740" t="s">
        <v>57</v>
      </c>
      <c r="C1740" t="s">
        <v>13</v>
      </c>
      <c r="D1740" s="1">
        <v>15401</v>
      </c>
      <c r="E1740" s="1">
        <v>139096</v>
      </c>
      <c r="F1740" s="2">
        <v>52293</v>
      </c>
    </row>
    <row r="1741" spans="1:6" x14ac:dyDescent="0.25">
      <c r="A1741">
        <v>2017</v>
      </c>
      <c r="B1741" t="s">
        <v>57</v>
      </c>
      <c r="C1741" t="s">
        <v>14</v>
      </c>
      <c r="D1741" s="1">
        <v>16569</v>
      </c>
      <c r="E1741" s="1">
        <v>177353</v>
      </c>
      <c r="F1741" s="2">
        <v>59048</v>
      </c>
    </row>
    <row r="1742" spans="1:6" x14ac:dyDescent="0.25">
      <c r="A1742">
        <v>2017</v>
      </c>
      <c r="B1742" t="s">
        <v>57</v>
      </c>
      <c r="C1742" t="s">
        <v>15</v>
      </c>
      <c r="D1742" s="1">
        <v>20206</v>
      </c>
      <c r="E1742" s="1">
        <v>214141</v>
      </c>
      <c r="F1742" s="2">
        <v>48829</v>
      </c>
    </row>
    <row r="1743" spans="1:6" x14ac:dyDescent="0.25">
      <c r="A1743">
        <v>2017</v>
      </c>
      <c r="B1743" t="s">
        <v>57</v>
      </c>
      <c r="C1743" t="s">
        <v>16</v>
      </c>
      <c r="D1743" s="1">
        <v>24001</v>
      </c>
      <c r="E1743" s="1">
        <v>209874</v>
      </c>
      <c r="F1743" s="2">
        <v>55218</v>
      </c>
    </row>
    <row r="1744" spans="1:6" x14ac:dyDescent="0.25">
      <c r="A1744">
        <v>2017</v>
      </c>
      <c r="B1744" t="s">
        <v>57</v>
      </c>
      <c r="C1744" t="s">
        <v>17</v>
      </c>
      <c r="D1744" s="1">
        <v>9912</v>
      </c>
      <c r="E1744" s="1">
        <v>66736</v>
      </c>
      <c r="F1744" s="2">
        <v>55405</v>
      </c>
    </row>
    <row r="1745" spans="1:6" x14ac:dyDescent="0.25">
      <c r="A1745">
        <v>2017</v>
      </c>
      <c r="B1745" t="s">
        <v>57</v>
      </c>
      <c r="C1745" t="s">
        <v>18</v>
      </c>
      <c r="D1745" s="1">
        <v>42175</v>
      </c>
      <c r="E1745" s="1">
        <v>443764</v>
      </c>
      <c r="F1745" s="2">
        <v>77259</v>
      </c>
    </row>
    <row r="1746" spans="1:6" x14ac:dyDescent="0.25">
      <c r="A1746">
        <v>2017</v>
      </c>
      <c r="B1746" t="s">
        <v>57</v>
      </c>
      <c r="C1746" t="s">
        <v>19</v>
      </c>
      <c r="D1746" s="1">
        <v>47186</v>
      </c>
      <c r="E1746" s="1">
        <v>566190</v>
      </c>
      <c r="F1746" s="2">
        <v>102580</v>
      </c>
    </row>
    <row r="1747" spans="1:6" x14ac:dyDescent="0.25">
      <c r="A1747">
        <v>2017</v>
      </c>
      <c r="B1747" t="s">
        <v>57</v>
      </c>
      <c r="C1747" t="s">
        <v>20</v>
      </c>
      <c r="D1747" s="1">
        <v>42271</v>
      </c>
      <c r="E1747" s="1">
        <v>645279</v>
      </c>
      <c r="F1747" s="2">
        <v>68677</v>
      </c>
    </row>
    <row r="1748" spans="1:6" x14ac:dyDescent="0.25">
      <c r="A1748">
        <v>2017</v>
      </c>
      <c r="B1748" t="s">
        <v>57</v>
      </c>
      <c r="C1748" t="s">
        <v>21</v>
      </c>
      <c r="D1748" s="1">
        <v>29916</v>
      </c>
      <c r="E1748" s="1">
        <v>373603</v>
      </c>
      <c r="F1748" s="2">
        <v>80794</v>
      </c>
    </row>
    <row r="1749" spans="1:6" x14ac:dyDescent="0.25">
      <c r="A1749">
        <v>2017</v>
      </c>
      <c r="B1749" t="s">
        <v>57</v>
      </c>
      <c r="C1749" t="s">
        <v>22</v>
      </c>
      <c r="D1749" s="1">
        <v>11953</v>
      </c>
      <c r="E1749" s="1">
        <v>107737</v>
      </c>
      <c r="F1749" s="2">
        <v>41461</v>
      </c>
    </row>
    <row r="1750" spans="1:6" x14ac:dyDescent="0.25">
      <c r="A1750">
        <v>2017</v>
      </c>
      <c r="B1750" t="s">
        <v>57</v>
      </c>
      <c r="C1750" t="s">
        <v>23</v>
      </c>
      <c r="D1750" s="1">
        <v>33699</v>
      </c>
      <c r="E1750" s="1">
        <v>381525</v>
      </c>
      <c r="F1750" s="2">
        <v>63932</v>
      </c>
    </row>
    <row r="1751" spans="1:6" x14ac:dyDescent="0.25">
      <c r="A1751">
        <v>2017</v>
      </c>
      <c r="B1751" t="s">
        <v>57</v>
      </c>
      <c r="C1751" t="s">
        <v>24</v>
      </c>
      <c r="D1751" s="1">
        <v>8994</v>
      </c>
      <c r="E1751" s="1">
        <v>41010</v>
      </c>
      <c r="F1751" s="2">
        <v>50921</v>
      </c>
    </row>
    <row r="1752" spans="1:6" x14ac:dyDescent="0.25">
      <c r="A1752">
        <v>2017</v>
      </c>
      <c r="B1752" t="s">
        <v>57</v>
      </c>
      <c r="C1752" t="s">
        <v>25</v>
      </c>
      <c r="D1752" s="1">
        <v>11395</v>
      </c>
      <c r="E1752" s="1">
        <v>117542</v>
      </c>
      <c r="F1752" s="2">
        <v>59204</v>
      </c>
    </row>
    <row r="1753" spans="1:6" x14ac:dyDescent="0.25">
      <c r="A1753">
        <v>2017</v>
      </c>
      <c r="B1753" t="s">
        <v>57</v>
      </c>
      <c r="C1753" t="s">
        <v>26</v>
      </c>
      <c r="D1753" s="1">
        <v>19521</v>
      </c>
      <c r="E1753" s="1">
        <v>181485</v>
      </c>
      <c r="F1753" s="2">
        <v>58283</v>
      </c>
    </row>
    <row r="1754" spans="1:6" x14ac:dyDescent="0.25">
      <c r="A1754">
        <v>2017</v>
      </c>
      <c r="B1754" t="s">
        <v>57</v>
      </c>
      <c r="C1754" t="s">
        <v>27</v>
      </c>
      <c r="D1754" s="1">
        <v>11938</v>
      </c>
      <c r="E1754" s="1">
        <v>81761</v>
      </c>
      <c r="F1754" s="2">
        <v>75584</v>
      </c>
    </row>
    <row r="1755" spans="1:6" x14ac:dyDescent="0.25">
      <c r="A1755">
        <v>2017</v>
      </c>
      <c r="B1755" t="s">
        <v>57</v>
      </c>
      <c r="C1755" t="s">
        <v>28</v>
      </c>
      <c r="D1755" s="1">
        <v>50907</v>
      </c>
      <c r="E1755" s="1">
        <v>663584</v>
      </c>
      <c r="F1755" s="2">
        <v>88404</v>
      </c>
    </row>
    <row r="1756" spans="1:6" x14ac:dyDescent="0.25">
      <c r="A1756">
        <v>2017</v>
      </c>
      <c r="B1756" t="s">
        <v>57</v>
      </c>
      <c r="C1756" t="s">
        <v>29</v>
      </c>
      <c r="D1756" s="1">
        <v>10062</v>
      </c>
      <c r="E1756" s="1">
        <v>104434</v>
      </c>
      <c r="F1756" s="2">
        <v>60086</v>
      </c>
    </row>
    <row r="1757" spans="1:6" x14ac:dyDescent="0.25">
      <c r="A1757">
        <v>2017</v>
      </c>
      <c r="B1757" t="s">
        <v>57</v>
      </c>
      <c r="C1757" t="s">
        <v>30</v>
      </c>
      <c r="D1757" s="1">
        <v>111646</v>
      </c>
      <c r="E1757" s="1">
        <v>1314408</v>
      </c>
      <c r="F1757" s="2">
        <v>92549</v>
      </c>
    </row>
    <row r="1758" spans="1:6" x14ac:dyDescent="0.25">
      <c r="A1758">
        <v>2017</v>
      </c>
      <c r="B1758" t="s">
        <v>57</v>
      </c>
      <c r="C1758" t="s">
        <v>31</v>
      </c>
      <c r="D1758" s="1">
        <v>57179</v>
      </c>
      <c r="E1758" s="1">
        <v>616193</v>
      </c>
      <c r="F1758" s="2">
        <v>62617</v>
      </c>
    </row>
    <row r="1759" spans="1:6" x14ac:dyDescent="0.25">
      <c r="A1759">
        <v>2017</v>
      </c>
      <c r="B1759" t="s">
        <v>57</v>
      </c>
      <c r="C1759" t="s">
        <v>32</v>
      </c>
      <c r="D1759" s="1">
        <v>4917</v>
      </c>
      <c r="E1759" s="1">
        <v>34300</v>
      </c>
      <c r="F1759" s="2">
        <v>59438</v>
      </c>
    </row>
    <row r="1760" spans="1:6" x14ac:dyDescent="0.25">
      <c r="A1760">
        <v>2017</v>
      </c>
      <c r="B1760" t="s">
        <v>57</v>
      </c>
      <c r="C1760" t="s">
        <v>33</v>
      </c>
      <c r="D1760" s="1">
        <v>52650</v>
      </c>
      <c r="E1760" s="1">
        <v>724748</v>
      </c>
      <c r="F1760" s="2">
        <v>62445</v>
      </c>
    </row>
    <row r="1761" spans="1:6" x14ac:dyDescent="0.25">
      <c r="A1761">
        <v>2017</v>
      </c>
      <c r="B1761" t="s">
        <v>57</v>
      </c>
      <c r="C1761" t="s">
        <v>34</v>
      </c>
      <c r="D1761" s="1">
        <v>20434</v>
      </c>
      <c r="E1761" s="1">
        <v>185534</v>
      </c>
      <c r="F1761" s="2">
        <v>50640</v>
      </c>
    </row>
    <row r="1762" spans="1:6" x14ac:dyDescent="0.25">
      <c r="A1762">
        <v>2017</v>
      </c>
      <c r="B1762" t="s">
        <v>57</v>
      </c>
      <c r="C1762" t="s">
        <v>35</v>
      </c>
      <c r="D1762" s="1">
        <v>24942</v>
      </c>
      <c r="E1762" s="1">
        <v>242708</v>
      </c>
      <c r="F1762" s="2">
        <v>67873</v>
      </c>
    </row>
    <row r="1763" spans="1:6" x14ac:dyDescent="0.25">
      <c r="A1763">
        <v>2017</v>
      </c>
      <c r="B1763" t="s">
        <v>57</v>
      </c>
      <c r="C1763" t="s">
        <v>36</v>
      </c>
      <c r="D1763" s="1">
        <v>61779</v>
      </c>
      <c r="E1763" s="1">
        <v>799939</v>
      </c>
      <c r="F1763" s="2">
        <v>76029</v>
      </c>
    </row>
    <row r="1764" spans="1:6" x14ac:dyDescent="0.25">
      <c r="A1764">
        <v>2017</v>
      </c>
      <c r="B1764" t="s">
        <v>57</v>
      </c>
      <c r="C1764" t="s">
        <v>37</v>
      </c>
      <c r="D1764" s="1">
        <v>8350</v>
      </c>
      <c r="E1764" s="1">
        <v>67366</v>
      </c>
      <c r="F1764" s="2">
        <v>67763</v>
      </c>
    </row>
    <row r="1765" spans="1:6" x14ac:dyDescent="0.25">
      <c r="A1765">
        <v>2017</v>
      </c>
      <c r="B1765" t="s">
        <v>57</v>
      </c>
      <c r="C1765" t="s">
        <v>38</v>
      </c>
      <c r="D1765" s="1">
        <v>25902</v>
      </c>
      <c r="E1765" s="1">
        <v>280711</v>
      </c>
      <c r="F1765" s="2">
        <v>49505</v>
      </c>
    </row>
    <row r="1766" spans="1:6" x14ac:dyDescent="0.25">
      <c r="A1766">
        <v>2017</v>
      </c>
      <c r="B1766" t="s">
        <v>57</v>
      </c>
      <c r="C1766" t="s">
        <v>39</v>
      </c>
      <c r="D1766" s="1">
        <v>5030</v>
      </c>
      <c r="E1766" s="1">
        <v>31264</v>
      </c>
      <c r="F1766" s="2">
        <v>55293</v>
      </c>
    </row>
    <row r="1767" spans="1:6" x14ac:dyDescent="0.25">
      <c r="A1767">
        <v>2017</v>
      </c>
      <c r="B1767" t="s">
        <v>57</v>
      </c>
      <c r="C1767" t="s">
        <v>40</v>
      </c>
      <c r="D1767" s="1">
        <v>28315</v>
      </c>
      <c r="E1767" s="1">
        <v>407133</v>
      </c>
      <c r="F1767" s="2">
        <v>56172</v>
      </c>
    </row>
    <row r="1768" spans="1:6" x14ac:dyDescent="0.25">
      <c r="A1768">
        <v>2017</v>
      </c>
      <c r="B1768" t="s">
        <v>57</v>
      </c>
      <c r="C1768" t="s">
        <v>41</v>
      </c>
      <c r="D1768" s="1">
        <v>129242</v>
      </c>
      <c r="E1768" s="1">
        <v>1666865</v>
      </c>
      <c r="F1768" s="2">
        <v>71507</v>
      </c>
    </row>
    <row r="1769" spans="1:6" x14ac:dyDescent="0.25">
      <c r="A1769">
        <v>2017</v>
      </c>
      <c r="B1769" t="s">
        <v>57</v>
      </c>
      <c r="C1769" t="s">
        <v>42</v>
      </c>
      <c r="D1769" s="1">
        <v>21911</v>
      </c>
      <c r="E1769" s="1">
        <v>205052</v>
      </c>
      <c r="F1769" s="2">
        <v>56815</v>
      </c>
    </row>
    <row r="1770" spans="1:6" x14ac:dyDescent="0.25">
      <c r="A1770">
        <v>2017</v>
      </c>
      <c r="B1770" t="s">
        <v>57</v>
      </c>
      <c r="C1770" t="s">
        <v>43</v>
      </c>
      <c r="D1770" s="1">
        <v>5488</v>
      </c>
      <c r="E1770" s="1">
        <v>28484</v>
      </c>
      <c r="F1770" s="2">
        <v>63457</v>
      </c>
    </row>
    <row r="1771" spans="1:6" x14ac:dyDescent="0.25">
      <c r="A1771">
        <v>2017</v>
      </c>
      <c r="B1771" t="s">
        <v>57</v>
      </c>
      <c r="C1771" t="s">
        <v>44</v>
      </c>
      <c r="D1771" s="1">
        <v>57146</v>
      </c>
      <c r="E1771" s="1">
        <v>725936</v>
      </c>
      <c r="F1771" s="2">
        <v>84971</v>
      </c>
    </row>
    <row r="1772" spans="1:6" x14ac:dyDescent="0.25">
      <c r="A1772">
        <v>2017</v>
      </c>
      <c r="B1772" t="s">
        <v>57</v>
      </c>
      <c r="C1772" t="s">
        <v>45</v>
      </c>
      <c r="D1772" s="1">
        <v>39177</v>
      </c>
      <c r="E1772" s="1">
        <v>404782</v>
      </c>
      <c r="F1772" s="2">
        <v>76348</v>
      </c>
    </row>
    <row r="1773" spans="1:6" x14ac:dyDescent="0.25">
      <c r="A1773">
        <v>2017</v>
      </c>
      <c r="B1773" t="s">
        <v>57</v>
      </c>
      <c r="C1773" t="s">
        <v>46</v>
      </c>
      <c r="D1773" s="1">
        <v>8077</v>
      </c>
      <c r="E1773" s="1">
        <v>66420</v>
      </c>
      <c r="F1773" s="2">
        <v>48213</v>
      </c>
    </row>
    <row r="1774" spans="1:6" x14ac:dyDescent="0.25">
      <c r="A1774">
        <v>2017</v>
      </c>
      <c r="B1774" t="s">
        <v>57</v>
      </c>
      <c r="C1774" t="s">
        <v>47</v>
      </c>
      <c r="D1774" s="1">
        <v>23769</v>
      </c>
      <c r="E1774" s="1">
        <v>324012</v>
      </c>
      <c r="F1774" s="2">
        <v>57868</v>
      </c>
    </row>
    <row r="1775" spans="1:6" x14ac:dyDescent="0.25">
      <c r="A1775">
        <v>2017</v>
      </c>
      <c r="B1775" t="s">
        <v>57</v>
      </c>
      <c r="C1775" t="s">
        <v>48</v>
      </c>
      <c r="D1775" s="1">
        <v>4417</v>
      </c>
      <c r="E1775" s="1">
        <v>18050</v>
      </c>
      <c r="F1775" s="2">
        <v>50226</v>
      </c>
    </row>
    <row r="1776" spans="1:6" x14ac:dyDescent="0.25">
      <c r="A1776">
        <v>2017</v>
      </c>
      <c r="B1776" t="s">
        <v>58</v>
      </c>
      <c r="C1776" t="s">
        <v>1</v>
      </c>
      <c r="D1776" s="1">
        <v>12429</v>
      </c>
      <c r="E1776" s="1">
        <v>229821</v>
      </c>
      <c r="F1776" s="2">
        <v>45641</v>
      </c>
    </row>
    <row r="1777" spans="1:6" x14ac:dyDescent="0.25">
      <c r="A1777">
        <v>2017</v>
      </c>
      <c r="B1777" t="s">
        <v>58</v>
      </c>
      <c r="C1777" t="s">
        <v>2</v>
      </c>
      <c r="D1777" s="1">
        <v>16509</v>
      </c>
      <c r="E1777" s="1">
        <v>420129</v>
      </c>
      <c r="F1777" s="2">
        <v>50240</v>
      </c>
    </row>
    <row r="1778" spans="1:6" x14ac:dyDescent="0.25">
      <c r="A1778">
        <v>2017</v>
      </c>
      <c r="B1778" t="s">
        <v>58</v>
      </c>
      <c r="C1778" t="s">
        <v>3</v>
      </c>
      <c r="D1778" s="1">
        <v>15762</v>
      </c>
      <c r="E1778" s="1">
        <v>183433</v>
      </c>
      <c r="F1778" s="2">
        <v>41521</v>
      </c>
    </row>
    <row r="1779" spans="1:6" x14ac:dyDescent="0.25">
      <c r="A1779">
        <v>2017</v>
      </c>
      <c r="B1779" t="s">
        <v>58</v>
      </c>
      <c r="C1779" t="s">
        <v>4</v>
      </c>
      <c r="D1779" s="1">
        <v>593987</v>
      </c>
      <c r="E1779" s="1">
        <v>2560907</v>
      </c>
      <c r="F1779" s="2">
        <v>50766</v>
      </c>
    </row>
    <row r="1780" spans="1:6" x14ac:dyDescent="0.25">
      <c r="A1780">
        <v>2017</v>
      </c>
      <c r="B1780" t="s">
        <v>58</v>
      </c>
      <c r="C1780" t="s">
        <v>5</v>
      </c>
      <c r="D1780" s="1">
        <v>21356</v>
      </c>
      <c r="E1780" s="1">
        <v>328843</v>
      </c>
      <c r="F1780" s="2">
        <v>48754</v>
      </c>
    </row>
    <row r="1781" spans="1:6" x14ac:dyDescent="0.25">
      <c r="A1781">
        <v>2017</v>
      </c>
      <c r="B1781" t="s">
        <v>58</v>
      </c>
      <c r="C1781" t="s">
        <v>6</v>
      </c>
      <c r="D1781" s="1">
        <v>12701</v>
      </c>
      <c r="E1781" s="1">
        <v>325348</v>
      </c>
      <c r="F1781" s="2">
        <v>53993</v>
      </c>
    </row>
    <row r="1782" spans="1:6" x14ac:dyDescent="0.25">
      <c r="A1782">
        <v>2017</v>
      </c>
      <c r="B1782" t="s">
        <v>58</v>
      </c>
      <c r="C1782" t="s">
        <v>7</v>
      </c>
      <c r="D1782" s="1">
        <v>4626</v>
      </c>
      <c r="E1782" s="1">
        <v>73879</v>
      </c>
      <c r="F1782" s="2">
        <v>53083</v>
      </c>
    </row>
    <row r="1783" spans="1:6" x14ac:dyDescent="0.25">
      <c r="A1783">
        <v>2017</v>
      </c>
      <c r="B1783" t="s">
        <v>58</v>
      </c>
      <c r="C1783" t="s">
        <v>8</v>
      </c>
      <c r="D1783" s="1">
        <v>71929</v>
      </c>
      <c r="E1783" s="1">
        <v>1258710</v>
      </c>
      <c r="F1783" s="2">
        <v>49450</v>
      </c>
    </row>
    <row r="1784" spans="1:6" x14ac:dyDescent="0.25">
      <c r="A1784">
        <v>2017</v>
      </c>
      <c r="B1784" t="s">
        <v>58</v>
      </c>
      <c r="C1784" t="s">
        <v>9</v>
      </c>
      <c r="D1784" s="1">
        <v>28426</v>
      </c>
      <c r="E1784" s="1">
        <v>546707</v>
      </c>
      <c r="F1784" s="2">
        <v>50819</v>
      </c>
    </row>
    <row r="1785" spans="1:6" x14ac:dyDescent="0.25">
      <c r="A1785">
        <v>2017</v>
      </c>
      <c r="B1785" t="s">
        <v>58</v>
      </c>
      <c r="C1785" t="s">
        <v>10</v>
      </c>
      <c r="D1785" s="1">
        <v>7292</v>
      </c>
      <c r="E1785" s="1">
        <v>96246</v>
      </c>
      <c r="F1785" s="2">
        <v>40927</v>
      </c>
    </row>
    <row r="1786" spans="1:6" x14ac:dyDescent="0.25">
      <c r="A1786">
        <v>2017</v>
      </c>
      <c r="B1786" t="s">
        <v>58</v>
      </c>
      <c r="C1786" t="s">
        <v>11</v>
      </c>
      <c r="D1786" s="1">
        <v>34414</v>
      </c>
      <c r="E1786" s="1">
        <v>910288</v>
      </c>
      <c r="F1786" s="2">
        <v>49347</v>
      </c>
    </row>
    <row r="1787" spans="1:6" x14ac:dyDescent="0.25">
      <c r="A1787">
        <v>2017</v>
      </c>
      <c r="B1787" t="s">
        <v>58</v>
      </c>
      <c r="C1787" t="s">
        <v>12</v>
      </c>
      <c r="D1787" s="1">
        <v>15254</v>
      </c>
      <c r="E1787" s="1">
        <v>452646</v>
      </c>
      <c r="F1787" s="2">
        <v>46791</v>
      </c>
    </row>
    <row r="1788" spans="1:6" x14ac:dyDescent="0.25">
      <c r="A1788">
        <v>2017</v>
      </c>
      <c r="B1788" t="s">
        <v>58</v>
      </c>
      <c r="C1788" t="s">
        <v>13</v>
      </c>
      <c r="D1788" s="1">
        <v>11324</v>
      </c>
      <c r="E1788" s="1">
        <v>219362</v>
      </c>
      <c r="F1788" s="2">
        <v>42092</v>
      </c>
    </row>
    <row r="1789" spans="1:6" x14ac:dyDescent="0.25">
      <c r="A1789">
        <v>2017</v>
      </c>
      <c r="B1789" t="s">
        <v>58</v>
      </c>
      <c r="C1789" t="s">
        <v>14</v>
      </c>
      <c r="D1789" s="1">
        <v>10129</v>
      </c>
      <c r="E1789" s="1">
        <v>192638</v>
      </c>
      <c r="F1789" s="2">
        <v>41465</v>
      </c>
    </row>
    <row r="1790" spans="1:6" x14ac:dyDescent="0.25">
      <c r="A1790">
        <v>2017</v>
      </c>
      <c r="B1790" t="s">
        <v>58</v>
      </c>
      <c r="C1790" t="s">
        <v>15</v>
      </c>
      <c r="D1790" s="1">
        <v>17849</v>
      </c>
      <c r="E1790" s="1">
        <v>262151</v>
      </c>
      <c r="F1790" s="2">
        <v>47340</v>
      </c>
    </row>
    <row r="1791" spans="1:6" x14ac:dyDescent="0.25">
      <c r="A1791">
        <v>2017</v>
      </c>
      <c r="B1791" t="s">
        <v>58</v>
      </c>
      <c r="C1791" t="s">
        <v>16</v>
      </c>
      <c r="D1791" s="1">
        <v>15003</v>
      </c>
      <c r="E1791" s="1">
        <v>297694</v>
      </c>
      <c r="F1791" s="2">
        <v>42305</v>
      </c>
    </row>
    <row r="1792" spans="1:6" x14ac:dyDescent="0.25">
      <c r="A1792">
        <v>2017</v>
      </c>
      <c r="B1792" t="s">
        <v>58</v>
      </c>
      <c r="C1792" t="s">
        <v>17</v>
      </c>
      <c r="D1792" s="1">
        <v>6292</v>
      </c>
      <c r="E1792" s="1">
        <v>118412</v>
      </c>
      <c r="F1792" s="2">
        <v>45937</v>
      </c>
    </row>
    <row r="1793" spans="1:6" x14ac:dyDescent="0.25">
      <c r="A1793">
        <v>2017</v>
      </c>
      <c r="B1793" t="s">
        <v>58</v>
      </c>
      <c r="C1793" t="s">
        <v>18</v>
      </c>
      <c r="D1793" s="1">
        <v>20270</v>
      </c>
      <c r="E1793" s="1">
        <v>436185</v>
      </c>
      <c r="F1793" s="2">
        <v>53201</v>
      </c>
    </row>
    <row r="1794" spans="1:6" x14ac:dyDescent="0.25">
      <c r="A1794">
        <v>2017</v>
      </c>
      <c r="B1794" t="s">
        <v>58</v>
      </c>
      <c r="C1794" t="s">
        <v>19</v>
      </c>
      <c r="D1794" s="1">
        <v>61589</v>
      </c>
      <c r="E1794" s="1">
        <v>769824</v>
      </c>
      <c r="F1794" s="2">
        <v>57794</v>
      </c>
    </row>
    <row r="1795" spans="1:6" x14ac:dyDescent="0.25">
      <c r="A1795">
        <v>2017</v>
      </c>
      <c r="B1795" t="s">
        <v>58</v>
      </c>
      <c r="C1795" t="s">
        <v>20</v>
      </c>
      <c r="D1795" s="1">
        <v>24957</v>
      </c>
      <c r="E1795" s="1">
        <v>656020</v>
      </c>
      <c r="F1795" s="2">
        <v>48406</v>
      </c>
    </row>
    <row r="1796" spans="1:6" x14ac:dyDescent="0.25">
      <c r="A1796">
        <v>2017</v>
      </c>
      <c r="B1796" t="s">
        <v>58</v>
      </c>
      <c r="C1796" t="s">
        <v>21</v>
      </c>
      <c r="D1796" s="1">
        <v>17543</v>
      </c>
      <c r="E1796" s="1">
        <v>514711</v>
      </c>
      <c r="F1796" s="2">
        <v>49720</v>
      </c>
    </row>
    <row r="1797" spans="1:6" x14ac:dyDescent="0.25">
      <c r="A1797">
        <v>2017</v>
      </c>
      <c r="B1797" t="s">
        <v>58</v>
      </c>
      <c r="C1797" t="s">
        <v>22</v>
      </c>
      <c r="D1797" s="1">
        <v>7420</v>
      </c>
      <c r="E1797" s="1">
        <v>142412</v>
      </c>
      <c r="F1797" s="2">
        <v>40426</v>
      </c>
    </row>
    <row r="1798" spans="1:6" x14ac:dyDescent="0.25">
      <c r="A1798">
        <v>2017</v>
      </c>
      <c r="B1798" t="s">
        <v>58</v>
      </c>
      <c r="C1798" t="s">
        <v>23</v>
      </c>
      <c r="D1798" s="1">
        <v>48626</v>
      </c>
      <c r="E1798" s="1">
        <v>450671</v>
      </c>
      <c r="F1798" s="2">
        <v>44800</v>
      </c>
    </row>
    <row r="1799" spans="1:6" x14ac:dyDescent="0.25">
      <c r="A1799">
        <v>2017</v>
      </c>
      <c r="B1799" t="s">
        <v>58</v>
      </c>
      <c r="C1799" t="s">
        <v>24</v>
      </c>
      <c r="D1799" s="1">
        <v>4448</v>
      </c>
      <c r="E1799" s="1">
        <v>73262</v>
      </c>
      <c r="F1799" s="2">
        <v>46171</v>
      </c>
    </row>
    <row r="1800" spans="1:6" x14ac:dyDescent="0.25">
      <c r="A1800">
        <v>2017</v>
      </c>
      <c r="B1800" t="s">
        <v>58</v>
      </c>
      <c r="C1800" t="s">
        <v>25</v>
      </c>
      <c r="D1800" s="1">
        <v>13241</v>
      </c>
      <c r="E1800" s="1">
        <v>136970</v>
      </c>
      <c r="F1800" s="2">
        <v>44565</v>
      </c>
    </row>
    <row r="1801" spans="1:6" x14ac:dyDescent="0.25">
      <c r="A1801">
        <v>2017</v>
      </c>
      <c r="B1801" t="s">
        <v>58</v>
      </c>
      <c r="C1801" t="s">
        <v>26</v>
      </c>
      <c r="D1801" s="1">
        <v>8681</v>
      </c>
      <c r="E1801" s="1">
        <v>131756</v>
      </c>
      <c r="F1801" s="2">
        <v>53119</v>
      </c>
    </row>
    <row r="1802" spans="1:6" x14ac:dyDescent="0.25">
      <c r="A1802">
        <v>2017</v>
      </c>
      <c r="B1802" t="s">
        <v>58</v>
      </c>
      <c r="C1802" t="s">
        <v>27</v>
      </c>
      <c r="D1802" s="1">
        <v>4635</v>
      </c>
      <c r="E1802" s="1">
        <v>111212</v>
      </c>
      <c r="F1802" s="2">
        <v>54599</v>
      </c>
    </row>
    <row r="1803" spans="1:6" x14ac:dyDescent="0.25">
      <c r="A1803">
        <v>2017</v>
      </c>
      <c r="B1803" t="s">
        <v>58</v>
      </c>
      <c r="C1803" t="s">
        <v>28</v>
      </c>
      <c r="D1803" s="1">
        <v>33411</v>
      </c>
      <c r="E1803" s="1">
        <v>644049</v>
      </c>
      <c r="F1803" s="2">
        <v>52138</v>
      </c>
    </row>
    <row r="1804" spans="1:6" x14ac:dyDescent="0.25">
      <c r="A1804">
        <v>2017</v>
      </c>
      <c r="B1804" t="s">
        <v>58</v>
      </c>
      <c r="C1804" t="s">
        <v>29</v>
      </c>
      <c r="D1804" s="1">
        <v>9629</v>
      </c>
      <c r="E1804" s="1">
        <v>127804</v>
      </c>
      <c r="F1804" s="2">
        <v>40621</v>
      </c>
    </row>
    <row r="1805" spans="1:6" x14ac:dyDescent="0.25">
      <c r="A1805">
        <v>2017</v>
      </c>
      <c r="B1805" t="s">
        <v>58</v>
      </c>
      <c r="C1805" t="s">
        <v>30</v>
      </c>
      <c r="D1805" s="1">
        <v>67533</v>
      </c>
      <c r="E1805" s="1">
        <v>1847585</v>
      </c>
      <c r="F1805" s="2">
        <v>51932</v>
      </c>
    </row>
    <row r="1806" spans="1:6" x14ac:dyDescent="0.25">
      <c r="A1806">
        <v>2017</v>
      </c>
      <c r="B1806" t="s">
        <v>58</v>
      </c>
      <c r="C1806" t="s">
        <v>31</v>
      </c>
      <c r="D1806" s="1">
        <v>26885</v>
      </c>
      <c r="E1806" s="1">
        <v>578637</v>
      </c>
      <c r="F1806" s="2">
        <v>47135</v>
      </c>
    </row>
    <row r="1807" spans="1:6" x14ac:dyDescent="0.25">
      <c r="A1807">
        <v>2017</v>
      </c>
      <c r="B1807" t="s">
        <v>58</v>
      </c>
      <c r="C1807" t="s">
        <v>32</v>
      </c>
      <c r="D1807" s="1">
        <v>2484</v>
      </c>
      <c r="E1807" s="1">
        <v>61847</v>
      </c>
      <c r="F1807" s="2">
        <v>49915</v>
      </c>
    </row>
    <row r="1808" spans="1:6" x14ac:dyDescent="0.25">
      <c r="A1808">
        <v>2017</v>
      </c>
      <c r="B1808" t="s">
        <v>58</v>
      </c>
      <c r="C1808" t="s">
        <v>33</v>
      </c>
      <c r="D1808" s="1">
        <v>34090</v>
      </c>
      <c r="E1808" s="1">
        <v>897244</v>
      </c>
      <c r="F1808" s="2">
        <v>45314</v>
      </c>
    </row>
    <row r="1809" spans="1:6" x14ac:dyDescent="0.25">
      <c r="A1809">
        <v>2017</v>
      </c>
      <c r="B1809" t="s">
        <v>58</v>
      </c>
      <c r="C1809" t="s">
        <v>34</v>
      </c>
      <c r="D1809" s="1">
        <v>13367</v>
      </c>
      <c r="E1809" s="1">
        <v>208934</v>
      </c>
      <c r="F1809" s="2">
        <v>44167</v>
      </c>
    </row>
    <row r="1810" spans="1:6" x14ac:dyDescent="0.25">
      <c r="A1810">
        <v>2017</v>
      </c>
      <c r="B1810" t="s">
        <v>58</v>
      </c>
      <c r="C1810" t="s">
        <v>35</v>
      </c>
      <c r="D1810" s="1">
        <v>15363</v>
      </c>
      <c r="E1810" s="1">
        <v>266489</v>
      </c>
      <c r="F1810" s="2">
        <v>50908</v>
      </c>
    </row>
    <row r="1811" spans="1:6" x14ac:dyDescent="0.25">
      <c r="A1811">
        <v>2017</v>
      </c>
      <c r="B1811" t="s">
        <v>58</v>
      </c>
      <c r="C1811" t="s">
        <v>36</v>
      </c>
      <c r="D1811" s="1">
        <v>58709</v>
      </c>
      <c r="E1811" s="1">
        <v>1179271</v>
      </c>
      <c r="F1811" s="2">
        <v>50500</v>
      </c>
    </row>
    <row r="1812" spans="1:6" x14ac:dyDescent="0.25">
      <c r="A1812">
        <v>2017</v>
      </c>
      <c r="B1812" t="s">
        <v>58</v>
      </c>
      <c r="C1812" t="s">
        <v>37</v>
      </c>
      <c r="D1812" s="1">
        <v>4485</v>
      </c>
      <c r="E1812" s="1">
        <v>99581</v>
      </c>
      <c r="F1812" s="2">
        <v>47941</v>
      </c>
    </row>
    <row r="1813" spans="1:6" x14ac:dyDescent="0.25">
      <c r="A1813">
        <v>2017</v>
      </c>
      <c r="B1813" t="s">
        <v>58</v>
      </c>
      <c r="C1813" t="s">
        <v>38</v>
      </c>
      <c r="D1813" s="1">
        <v>11574</v>
      </c>
      <c r="E1813" s="1">
        <v>226255</v>
      </c>
      <c r="F1813" s="2">
        <v>45624</v>
      </c>
    </row>
    <row r="1814" spans="1:6" x14ac:dyDescent="0.25">
      <c r="A1814">
        <v>2017</v>
      </c>
      <c r="B1814" t="s">
        <v>58</v>
      </c>
      <c r="C1814" t="s">
        <v>39</v>
      </c>
      <c r="D1814" s="1">
        <v>2732</v>
      </c>
      <c r="E1814" s="1">
        <v>66629</v>
      </c>
      <c r="F1814" s="2">
        <v>49512</v>
      </c>
    </row>
    <row r="1815" spans="1:6" x14ac:dyDescent="0.25">
      <c r="A1815">
        <v>2017</v>
      </c>
      <c r="B1815" t="s">
        <v>58</v>
      </c>
      <c r="C1815" t="s">
        <v>40</v>
      </c>
      <c r="D1815" s="1">
        <v>15761</v>
      </c>
      <c r="E1815" s="1">
        <v>416511</v>
      </c>
      <c r="F1815" s="2">
        <v>50938</v>
      </c>
    </row>
    <row r="1816" spans="1:6" x14ac:dyDescent="0.25">
      <c r="A1816">
        <v>2017</v>
      </c>
      <c r="B1816" t="s">
        <v>58</v>
      </c>
      <c r="C1816" t="s">
        <v>41</v>
      </c>
      <c r="D1816" s="1">
        <v>87635</v>
      </c>
      <c r="E1816" s="1">
        <v>1607487</v>
      </c>
      <c r="F1816" s="2">
        <v>47096</v>
      </c>
    </row>
    <row r="1817" spans="1:6" x14ac:dyDescent="0.25">
      <c r="A1817">
        <v>2017</v>
      </c>
      <c r="B1817" t="s">
        <v>58</v>
      </c>
      <c r="C1817" t="s">
        <v>42</v>
      </c>
      <c r="D1817" s="1">
        <v>11679</v>
      </c>
      <c r="E1817" s="1">
        <v>181402</v>
      </c>
      <c r="F1817" s="2">
        <v>42492</v>
      </c>
    </row>
    <row r="1818" spans="1:6" x14ac:dyDescent="0.25">
      <c r="A1818">
        <v>2017</v>
      </c>
      <c r="B1818" t="s">
        <v>58</v>
      </c>
      <c r="C1818" t="s">
        <v>43</v>
      </c>
      <c r="D1818" s="1">
        <v>2460</v>
      </c>
      <c r="E1818" s="1">
        <v>62109</v>
      </c>
      <c r="F1818" s="2">
        <v>45259</v>
      </c>
    </row>
    <row r="1819" spans="1:6" x14ac:dyDescent="0.25">
      <c r="A1819">
        <v>2017</v>
      </c>
      <c r="B1819" t="s">
        <v>58</v>
      </c>
      <c r="C1819" t="s">
        <v>44</v>
      </c>
      <c r="D1819" s="1">
        <v>42910</v>
      </c>
      <c r="E1819" s="1">
        <v>496944</v>
      </c>
      <c r="F1819" s="2">
        <v>48573</v>
      </c>
    </row>
    <row r="1820" spans="1:6" x14ac:dyDescent="0.25">
      <c r="A1820">
        <v>2017</v>
      </c>
      <c r="B1820" t="s">
        <v>58</v>
      </c>
      <c r="C1820" t="s">
        <v>45</v>
      </c>
      <c r="D1820" s="1">
        <v>56689</v>
      </c>
      <c r="E1820" s="1">
        <v>451563</v>
      </c>
      <c r="F1820" s="2">
        <v>49782</v>
      </c>
    </row>
    <row r="1821" spans="1:6" x14ac:dyDescent="0.25">
      <c r="A1821">
        <v>2017</v>
      </c>
      <c r="B1821" t="s">
        <v>58</v>
      </c>
      <c r="C1821" t="s">
        <v>46</v>
      </c>
      <c r="D1821" s="1">
        <v>5679</v>
      </c>
      <c r="E1821" s="1">
        <v>123772</v>
      </c>
      <c r="F1821" s="2">
        <v>44732</v>
      </c>
    </row>
    <row r="1822" spans="1:6" x14ac:dyDescent="0.25">
      <c r="A1822">
        <v>2017</v>
      </c>
      <c r="B1822" t="s">
        <v>58</v>
      </c>
      <c r="C1822" t="s">
        <v>47</v>
      </c>
      <c r="D1822" s="1">
        <v>25989</v>
      </c>
      <c r="E1822" s="1">
        <v>428367</v>
      </c>
      <c r="F1822" s="2">
        <v>47663</v>
      </c>
    </row>
    <row r="1823" spans="1:6" x14ac:dyDescent="0.25">
      <c r="A1823">
        <v>2017</v>
      </c>
      <c r="B1823" t="s">
        <v>58</v>
      </c>
      <c r="C1823" t="s">
        <v>48</v>
      </c>
      <c r="D1823" s="1">
        <v>3268</v>
      </c>
      <c r="E1823" s="1">
        <v>26479</v>
      </c>
      <c r="F1823" s="2">
        <v>41913</v>
      </c>
    </row>
    <row r="1824" spans="1:6" x14ac:dyDescent="0.25">
      <c r="A1824">
        <v>2017</v>
      </c>
      <c r="B1824" t="s">
        <v>59</v>
      </c>
      <c r="C1824" t="s">
        <v>1</v>
      </c>
      <c r="D1824" s="1">
        <v>10741</v>
      </c>
      <c r="E1824" s="1">
        <v>202336</v>
      </c>
      <c r="F1824" s="2">
        <v>16222</v>
      </c>
    </row>
    <row r="1825" spans="1:6" x14ac:dyDescent="0.25">
      <c r="A1825">
        <v>2017</v>
      </c>
      <c r="B1825" t="s">
        <v>59</v>
      </c>
      <c r="C1825" t="s">
        <v>2</v>
      </c>
      <c r="D1825" s="1">
        <v>12771</v>
      </c>
      <c r="E1825" s="1">
        <v>317076</v>
      </c>
      <c r="F1825" s="2">
        <v>23505</v>
      </c>
    </row>
    <row r="1826" spans="1:6" x14ac:dyDescent="0.25">
      <c r="A1826">
        <v>2017</v>
      </c>
      <c r="B1826" t="s">
        <v>59</v>
      </c>
      <c r="C1826" t="s">
        <v>3</v>
      </c>
      <c r="D1826" s="1">
        <v>7024</v>
      </c>
      <c r="E1826" s="1">
        <v>116690</v>
      </c>
      <c r="F1826" s="2">
        <v>16181</v>
      </c>
    </row>
    <row r="1827" spans="1:6" x14ac:dyDescent="0.25">
      <c r="A1827">
        <v>2017</v>
      </c>
      <c r="B1827" t="s">
        <v>59</v>
      </c>
      <c r="C1827" t="s">
        <v>4</v>
      </c>
      <c r="D1827" s="1">
        <v>103495</v>
      </c>
      <c r="E1827" s="1">
        <v>1935980</v>
      </c>
      <c r="F1827" s="2">
        <v>29214</v>
      </c>
    </row>
    <row r="1828" spans="1:6" x14ac:dyDescent="0.25">
      <c r="A1828">
        <v>2017</v>
      </c>
      <c r="B1828" t="s">
        <v>59</v>
      </c>
      <c r="C1828" t="s">
        <v>5</v>
      </c>
      <c r="D1828" s="1">
        <v>16627</v>
      </c>
      <c r="E1828" s="1">
        <v>333190</v>
      </c>
      <c r="F1828" s="2">
        <v>24462</v>
      </c>
    </row>
    <row r="1829" spans="1:6" x14ac:dyDescent="0.25">
      <c r="A1829">
        <v>2017</v>
      </c>
      <c r="B1829" t="s">
        <v>59</v>
      </c>
      <c r="C1829" t="s">
        <v>6</v>
      </c>
      <c r="D1829" s="1">
        <v>10338</v>
      </c>
      <c r="E1829" s="1">
        <v>156514</v>
      </c>
      <c r="F1829" s="2">
        <v>23066</v>
      </c>
    </row>
    <row r="1830" spans="1:6" x14ac:dyDescent="0.25">
      <c r="A1830">
        <v>2017</v>
      </c>
      <c r="B1830" t="s">
        <v>59</v>
      </c>
      <c r="C1830" t="s">
        <v>7</v>
      </c>
      <c r="D1830" s="1">
        <v>2565</v>
      </c>
      <c r="E1830" s="1">
        <v>50272</v>
      </c>
      <c r="F1830" s="2">
        <v>19997</v>
      </c>
    </row>
    <row r="1831" spans="1:6" x14ac:dyDescent="0.25">
      <c r="A1831">
        <v>2017</v>
      </c>
      <c r="B1831" t="s">
        <v>59</v>
      </c>
      <c r="C1831" t="s">
        <v>8</v>
      </c>
      <c r="D1831" s="1">
        <v>55396</v>
      </c>
      <c r="E1831" s="1">
        <v>1198478</v>
      </c>
      <c r="F1831" s="2">
        <v>24953</v>
      </c>
    </row>
    <row r="1832" spans="1:6" x14ac:dyDescent="0.25">
      <c r="A1832">
        <v>2017</v>
      </c>
      <c r="B1832" t="s">
        <v>59</v>
      </c>
      <c r="C1832" t="s">
        <v>9</v>
      </c>
      <c r="D1832" s="1">
        <v>23538</v>
      </c>
      <c r="E1832" s="1">
        <v>476035</v>
      </c>
      <c r="F1832" s="2">
        <v>20142</v>
      </c>
    </row>
    <row r="1833" spans="1:6" x14ac:dyDescent="0.25">
      <c r="A1833">
        <v>2017</v>
      </c>
      <c r="B1833" t="s">
        <v>59</v>
      </c>
      <c r="C1833" t="s">
        <v>10</v>
      </c>
      <c r="D1833" s="1">
        <v>4906</v>
      </c>
      <c r="E1833" s="1">
        <v>74928</v>
      </c>
      <c r="F1833" s="2">
        <v>16382</v>
      </c>
    </row>
    <row r="1834" spans="1:6" x14ac:dyDescent="0.25">
      <c r="A1834">
        <v>2017</v>
      </c>
      <c r="B1834" t="s">
        <v>59</v>
      </c>
      <c r="C1834" t="s">
        <v>11</v>
      </c>
      <c r="D1834" s="1">
        <v>32076</v>
      </c>
      <c r="E1834" s="1">
        <v>610100</v>
      </c>
      <c r="F1834" s="2">
        <v>22930</v>
      </c>
    </row>
    <row r="1835" spans="1:6" x14ac:dyDescent="0.25">
      <c r="A1835">
        <v>2017</v>
      </c>
      <c r="B1835" t="s">
        <v>59</v>
      </c>
      <c r="C1835" t="s">
        <v>12</v>
      </c>
      <c r="D1835" s="1">
        <v>15273</v>
      </c>
      <c r="E1835" s="1">
        <v>308506</v>
      </c>
      <c r="F1835" s="2">
        <v>18223</v>
      </c>
    </row>
    <row r="1836" spans="1:6" x14ac:dyDescent="0.25">
      <c r="A1836">
        <v>2017</v>
      </c>
      <c r="B1836" t="s">
        <v>59</v>
      </c>
      <c r="C1836" t="s">
        <v>13</v>
      </c>
      <c r="D1836" s="1">
        <v>8532</v>
      </c>
      <c r="E1836" s="1">
        <v>143101</v>
      </c>
      <c r="F1836" s="2">
        <v>16280</v>
      </c>
    </row>
    <row r="1837" spans="1:6" x14ac:dyDescent="0.25">
      <c r="A1837">
        <v>2017</v>
      </c>
      <c r="B1837" t="s">
        <v>59</v>
      </c>
      <c r="C1837" t="s">
        <v>14</v>
      </c>
      <c r="D1837" s="1">
        <v>6839</v>
      </c>
      <c r="E1837" s="1">
        <v>128449</v>
      </c>
      <c r="F1837" s="2">
        <v>16257</v>
      </c>
    </row>
    <row r="1838" spans="1:6" x14ac:dyDescent="0.25">
      <c r="A1838">
        <v>2017</v>
      </c>
      <c r="B1838" t="s">
        <v>59</v>
      </c>
      <c r="C1838" t="s">
        <v>15</v>
      </c>
      <c r="D1838" s="1">
        <v>10063</v>
      </c>
      <c r="E1838" s="1">
        <v>196846</v>
      </c>
      <c r="F1838" s="2">
        <v>17160</v>
      </c>
    </row>
    <row r="1839" spans="1:6" x14ac:dyDescent="0.25">
      <c r="A1839">
        <v>2017</v>
      </c>
      <c r="B1839" t="s">
        <v>59</v>
      </c>
      <c r="C1839" t="s">
        <v>16</v>
      </c>
      <c r="D1839" s="1">
        <v>12015</v>
      </c>
      <c r="E1839" s="1">
        <v>233109</v>
      </c>
      <c r="F1839" s="2">
        <v>20623</v>
      </c>
    </row>
    <row r="1840" spans="1:6" x14ac:dyDescent="0.25">
      <c r="A1840">
        <v>2017</v>
      </c>
      <c r="B1840" t="s">
        <v>59</v>
      </c>
      <c r="C1840" t="s">
        <v>17</v>
      </c>
      <c r="D1840" s="1">
        <v>5119</v>
      </c>
      <c r="E1840" s="1">
        <v>67354</v>
      </c>
      <c r="F1840" s="2">
        <v>21119</v>
      </c>
    </row>
    <row r="1841" spans="1:6" x14ac:dyDescent="0.25">
      <c r="A1841">
        <v>2017</v>
      </c>
      <c r="B1841" t="s">
        <v>59</v>
      </c>
      <c r="C1841" t="s">
        <v>18</v>
      </c>
      <c r="D1841" s="1">
        <v>14733</v>
      </c>
      <c r="E1841" s="1">
        <v>280195</v>
      </c>
      <c r="F1841" s="2">
        <v>23436</v>
      </c>
    </row>
    <row r="1842" spans="1:6" x14ac:dyDescent="0.25">
      <c r="A1842">
        <v>2017</v>
      </c>
      <c r="B1842" t="s">
        <v>59</v>
      </c>
      <c r="C1842" t="s">
        <v>19</v>
      </c>
      <c r="D1842" s="1">
        <v>20695</v>
      </c>
      <c r="E1842" s="1">
        <v>369350</v>
      </c>
      <c r="F1842" s="2">
        <v>26779</v>
      </c>
    </row>
    <row r="1843" spans="1:6" x14ac:dyDescent="0.25">
      <c r="A1843">
        <v>2017</v>
      </c>
      <c r="B1843" t="s">
        <v>59</v>
      </c>
      <c r="C1843" t="s">
        <v>20</v>
      </c>
      <c r="D1843" s="1">
        <v>21783</v>
      </c>
      <c r="E1843" s="1">
        <v>431316</v>
      </c>
      <c r="F1843" s="2">
        <v>19834</v>
      </c>
    </row>
    <row r="1844" spans="1:6" x14ac:dyDescent="0.25">
      <c r="A1844">
        <v>2017</v>
      </c>
      <c r="B1844" t="s">
        <v>59</v>
      </c>
      <c r="C1844" t="s">
        <v>21</v>
      </c>
      <c r="D1844" s="1">
        <v>14729</v>
      </c>
      <c r="E1844" s="1">
        <v>270490</v>
      </c>
      <c r="F1844" s="2">
        <v>21386</v>
      </c>
    </row>
    <row r="1845" spans="1:6" x14ac:dyDescent="0.25">
      <c r="A1845">
        <v>2017</v>
      </c>
      <c r="B1845" t="s">
        <v>59</v>
      </c>
      <c r="C1845" t="s">
        <v>22</v>
      </c>
      <c r="D1845" s="1">
        <v>6381</v>
      </c>
      <c r="E1845" s="1">
        <v>134613</v>
      </c>
      <c r="F1845" s="2">
        <v>17011</v>
      </c>
    </row>
    <row r="1846" spans="1:6" x14ac:dyDescent="0.25">
      <c r="A1846">
        <v>2017</v>
      </c>
      <c r="B1846" t="s">
        <v>59</v>
      </c>
      <c r="C1846" t="s">
        <v>23</v>
      </c>
      <c r="D1846" s="1">
        <v>14797</v>
      </c>
      <c r="E1846" s="1">
        <v>303022</v>
      </c>
      <c r="F1846" s="2">
        <v>20276</v>
      </c>
    </row>
    <row r="1847" spans="1:6" x14ac:dyDescent="0.25">
      <c r="A1847">
        <v>2017</v>
      </c>
      <c r="B1847" t="s">
        <v>59</v>
      </c>
      <c r="C1847" t="s">
        <v>24</v>
      </c>
      <c r="D1847" s="1">
        <v>4978</v>
      </c>
      <c r="E1847" s="1">
        <v>64958</v>
      </c>
      <c r="F1847" s="2">
        <v>18625</v>
      </c>
    </row>
    <row r="1848" spans="1:6" x14ac:dyDescent="0.25">
      <c r="A1848">
        <v>2017</v>
      </c>
      <c r="B1848" t="s">
        <v>59</v>
      </c>
      <c r="C1848" t="s">
        <v>25</v>
      </c>
      <c r="D1848" s="1">
        <v>5508</v>
      </c>
      <c r="E1848" s="1">
        <v>91776</v>
      </c>
      <c r="F1848" s="2">
        <v>16253</v>
      </c>
    </row>
    <row r="1849" spans="1:6" x14ac:dyDescent="0.25">
      <c r="A1849">
        <v>2017</v>
      </c>
      <c r="B1849" t="s">
        <v>59</v>
      </c>
      <c r="C1849" t="s">
        <v>26</v>
      </c>
      <c r="D1849" s="1">
        <v>8246</v>
      </c>
      <c r="E1849" s="1">
        <v>348888</v>
      </c>
      <c r="F1849" s="2">
        <v>33048</v>
      </c>
    </row>
    <row r="1850" spans="1:6" x14ac:dyDescent="0.25">
      <c r="A1850">
        <v>2017</v>
      </c>
      <c r="B1850" t="s">
        <v>59</v>
      </c>
      <c r="C1850" t="s">
        <v>27</v>
      </c>
      <c r="D1850" s="1">
        <v>4512</v>
      </c>
      <c r="E1850" s="1">
        <v>70729</v>
      </c>
      <c r="F1850" s="2">
        <v>21058</v>
      </c>
    </row>
    <row r="1851" spans="1:6" x14ac:dyDescent="0.25">
      <c r="A1851">
        <v>2017</v>
      </c>
      <c r="B1851" t="s">
        <v>59</v>
      </c>
      <c r="C1851" t="s">
        <v>28</v>
      </c>
      <c r="D1851" s="1">
        <v>23501</v>
      </c>
      <c r="E1851" s="1">
        <v>372798</v>
      </c>
      <c r="F1851" s="2">
        <v>24851</v>
      </c>
    </row>
    <row r="1852" spans="1:6" x14ac:dyDescent="0.25">
      <c r="A1852">
        <v>2017</v>
      </c>
      <c r="B1852" t="s">
        <v>59</v>
      </c>
      <c r="C1852" t="s">
        <v>29</v>
      </c>
      <c r="D1852" s="1">
        <v>4929</v>
      </c>
      <c r="E1852" s="1">
        <v>96321</v>
      </c>
      <c r="F1852" s="2">
        <v>17901</v>
      </c>
    </row>
    <row r="1853" spans="1:6" x14ac:dyDescent="0.25">
      <c r="A1853">
        <v>2017</v>
      </c>
      <c r="B1853" t="s">
        <v>59</v>
      </c>
      <c r="C1853" t="s">
        <v>30</v>
      </c>
      <c r="D1853" s="1">
        <v>66166</v>
      </c>
      <c r="E1853" s="1">
        <v>944545</v>
      </c>
      <c r="F1853" s="2">
        <v>32365</v>
      </c>
    </row>
    <row r="1854" spans="1:6" x14ac:dyDescent="0.25">
      <c r="A1854">
        <v>2017</v>
      </c>
      <c r="B1854" t="s">
        <v>59</v>
      </c>
      <c r="C1854" t="s">
        <v>31</v>
      </c>
      <c r="D1854" s="1">
        <v>25235</v>
      </c>
      <c r="E1854" s="1">
        <v>493758</v>
      </c>
      <c r="F1854" s="2">
        <v>19111</v>
      </c>
    </row>
    <row r="1855" spans="1:6" x14ac:dyDescent="0.25">
      <c r="A1855">
        <v>2017</v>
      </c>
      <c r="B1855" t="s">
        <v>59</v>
      </c>
      <c r="C1855" t="s">
        <v>32</v>
      </c>
      <c r="D1855" s="1">
        <v>2600</v>
      </c>
      <c r="E1855" s="1">
        <v>39316</v>
      </c>
      <c r="F1855" s="2">
        <v>17400</v>
      </c>
    </row>
    <row r="1856" spans="1:6" x14ac:dyDescent="0.25">
      <c r="A1856">
        <v>2017</v>
      </c>
      <c r="B1856" t="s">
        <v>59</v>
      </c>
      <c r="C1856" t="s">
        <v>33</v>
      </c>
      <c r="D1856" s="1">
        <v>28218</v>
      </c>
      <c r="E1856" s="1">
        <v>560257</v>
      </c>
      <c r="F1856" s="2">
        <v>18856</v>
      </c>
    </row>
    <row r="1857" spans="1:6" x14ac:dyDescent="0.25">
      <c r="A1857">
        <v>2017</v>
      </c>
      <c r="B1857" t="s">
        <v>59</v>
      </c>
      <c r="C1857" t="s">
        <v>34</v>
      </c>
      <c r="D1857" s="1">
        <v>8969</v>
      </c>
      <c r="E1857" s="1">
        <v>167540</v>
      </c>
      <c r="F1857" s="2">
        <v>17729</v>
      </c>
    </row>
    <row r="1858" spans="1:6" x14ac:dyDescent="0.25">
      <c r="A1858">
        <v>2017</v>
      </c>
      <c r="B1858" t="s">
        <v>59</v>
      </c>
      <c r="C1858" t="s">
        <v>35</v>
      </c>
      <c r="D1858" s="1">
        <v>13588</v>
      </c>
      <c r="E1858" s="1">
        <v>205823</v>
      </c>
      <c r="F1858" s="2">
        <v>21379</v>
      </c>
    </row>
    <row r="1859" spans="1:6" x14ac:dyDescent="0.25">
      <c r="A1859">
        <v>2017</v>
      </c>
      <c r="B1859" t="s">
        <v>59</v>
      </c>
      <c r="C1859" t="s">
        <v>36</v>
      </c>
      <c r="D1859" s="1">
        <v>33146</v>
      </c>
      <c r="E1859" s="1">
        <v>566779</v>
      </c>
      <c r="F1859" s="2">
        <v>20389</v>
      </c>
    </row>
    <row r="1860" spans="1:6" x14ac:dyDescent="0.25">
      <c r="A1860">
        <v>2017</v>
      </c>
      <c r="B1860" t="s">
        <v>59</v>
      </c>
      <c r="C1860" t="s">
        <v>37</v>
      </c>
      <c r="D1860" s="1">
        <v>3683</v>
      </c>
      <c r="E1860" s="1">
        <v>58183</v>
      </c>
      <c r="F1860" s="2">
        <v>22353</v>
      </c>
    </row>
    <row r="1861" spans="1:6" x14ac:dyDescent="0.25">
      <c r="A1861">
        <v>2017</v>
      </c>
      <c r="B1861" t="s">
        <v>59</v>
      </c>
      <c r="C1861" t="s">
        <v>38</v>
      </c>
      <c r="D1861" s="1">
        <v>12337</v>
      </c>
      <c r="E1861" s="1">
        <v>254069</v>
      </c>
      <c r="F1861" s="2">
        <v>17885</v>
      </c>
    </row>
    <row r="1862" spans="1:6" x14ac:dyDescent="0.25">
      <c r="A1862">
        <v>2017</v>
      </c>
      <c r="B1862" t="s">
        <v>59</v>
      </c>
      <c r="C1862" t="s">
        <v>39</v>
      </c>
      <c r="D1862" s="1">
        <v>3109</v>
      </c>
      <c r="E1862" s="1">
        <v>46967</v>
      </c>
      <c r="F1862" s="2">
        <v>16460</v>
      </c>
    </row>
    <row r="1863" spans="1:6" x14ac:dyDescent="0.25">
      <c r="A1863">
        <v>2017</v>
      </c>
      <c r="B1863" t="s">
        <v>59</v>
      </c>
      <c r="C1863" t="s">
        <v>40</v>
      </c>
      <c r="D1863" s="1">
        <v>15932</v>
      </c>
      <c r="E1863" s="1">
        <v>328856</v>
      </c>
      <c r="F1863" s="2">
        <v>22398</v>
      </c>
    </row>
    <row r="1864" spans="1:6" x14ac:dyDescent="0.25">
      <c r="A1864">
        <v>2017</v>
      </c>
      <c r="B1864" t="s">
        <v>59</v>
      </c>
      <c r="C1864" t="s">
        <v>41</v>
      </c>
      <c r="D1864" s="1">
        <v>60744</v>
      </c>
      <c r="E1864" s="1">
        <v>1317762</v>
      </c>
      <c r="F1864" s="2">
        <v>21234</v>
      </c>
    </row>
    <row r="1865" spans="1:6" x14ac:dyDescent="0.25">
      <c r="A1865">
        <v>2017</v>
      </c>
      <c r="B1865" t="s">
        <v>59</v>
      </c>
      <c r="C1865" t="s">
        <v>42</v>
      </c>
      <c r="D1865" s="1">
        <v>7068</v>
      </c>
      <c r="E1865" s="1">
        <v>142985</v>
      </c>
      <c r="F1865" s="2">
        <v>19510</v>
      </c>
    </row>
    <row r="1866" spans="1:6" x14ac:dyDescent="0.25">
      <c r="A1866">
        <v>2017</v>
      </c>
      <c r="B1866" t="s">
        <v>59</v>
      </c>
      <c r="C1866" t="s">
        <v>43</v>
      </c>
      <c r="D1866" s="1">
        <v>2266</v>
      </c>
      <c r="E1866" s="1">
        <v>37337</v>
      </c>
      <c r="F1866" s="2">
        <v>22375</v>
      </c>
    </row>
    <row r="1867" spans="1:6" x14ac:dyDescent="0.25">
      <c r="A1867">
        <v>2017</v>
      </c>
      <c r="B1867" t="s">
        <v>59</v>
      </c>
      <c r="C1867" t="s">
        <v>44</v>
      </c>
      <c r="D1867" s="1">
        <v>20269</v>
      </c>
      <c r="E1867" s="1">
        <v>402475</v>
      </c>
      <c r="F1867" s="2">
        <v>20078</v>
      </c>
    </row>
    <row r="1868" spans="1:6" x14ac:dyDescent="0.25">
      <c r="A1868">
        <v>2017</v>
      </c>
      <c r="B1868" t="s">
        <v>59</v>
      </c>
      <c r="C1868" t="s">
        <v>45</v>
      </c>
      <c r="D1868" s="1">
        <v>20065</v>
      </c>
      <c r="E1868" s="1">
        <v>325141</v>
      </c>
      <c r="F1868" s="2">
        <v>24250</v>
      </c>
    </row>
    <row r="1869" spans="1:6" x14ac:dyDescent="0.25">
      <c r="A1869">
        <v>2017</v>
      </c>
      <c r="B1869" t="s">
        <v>59</v>
      </c>
      <c r="C1869" t="s">
        <v>46</v>
      </c>
      <c r="D1869" s="1">
        <v>4646</v>
      </c>
      <c r="E1869" s="1">
        <v>74275</v>
      </c>
      <c r="F1869" s="2">
        <v>17335</v>
      </c>
    </row>
    <row r="1870" spans="1:6" x14ac:dyDescent="0.25">
      <c r="A1870">
        <v>2017</v>
      </c>
      <c r="B1870" t="s">
        <v>59</v>
      </c>
      <c r="C1870" t="s">
        <v>47</v>
      </c>
      <c r="D1870" s="1">
        <v>16599</v>
      </c>
      <c r="E1870" s="1">
        <v>279749</v>
      </c>
      <c r="F1870" s="2">
        <v>17248</v>
      </c>
    </row>
    <row r="1871" spans="1:6" x14ac:dyDescent="0.25">
      <c r="A1871">
        <v>2017</v>
      </c>
      <c r="B1871" t="s">
        <v>59</v>
      </c>
      <c r="C1871" t="s">
        <v>48</v>
      </c>
      <c r="D1871" s="1">
        <v>2355</v>
      </c>
      <c r="E1871" s="1">
        <v>36297</v>
      </c>
      <c r="F1871" s="2">
        <v>19867</v>
      </c>
    </row>
    <row r="1872" spans="1:6" x14ac:dyDescent="0.25">
      <c r="A1872">
        <v>2017</v>
      </c>
      <c r="B1872" t="s">
        <v>60</v>
      </c>
      <c r="C1872" t="s">
        <v>1</v>
      </c>
      <c r="D1872" s="1">
        <v>9603</v>
      </c>
      <c r="E1872" s="1">
        <v>45296</v>
      </c>
      <c r="F1872" s="2">
        <v>36539</v>
      </c>
    </row>
    <row r="1873" spans="1:6" x14ac:dyDescent="0.25">
      <c r="A1873">
        <v>2017</v>
      </c>
      <c r="B1873" t="s">
        <v>60</v>
      </c>
      <c r="C1873" t="s">
        <v>2</v>
      </c>
      <c r="D1873" s="1">
        <v>10297</v>
      </c>
      <c r="E1873" s="1">
        <v>71320</v>
      </c>
      <c r="F1873" s="2">
        <v>37061</v>
      </c>
    </row>
    <row r="1874" spans="1:6" x14ac:dyDescent="0.25">
      <c r="A1874">
        <v>2017</v>
      </c>
      <c r="B1874" t="s">
        <v>60</v>
      </c>
      <c r="C1874" t="s">
        <v>3</v>
      </c>
      <c r="D1874" s="1">
        <v>5315</v>
      </c>
      <c r="E1874" s="1">
        <v>24804</v>
      </c>
      <c r="F1874" s="2">
        <v>33179</v>
      </c>
    </row>
    <row r="1875" spans="1:6" x14ac:dyDescent="0.25">
      <c r="A1875">
        <v>2017</v>
      </c>
      <c r="B1875" t="s">
        <v>60</v>
      </c>
      <c r="C1875" t="s">
        <v>4</v>
      </c>
      <c r="D1875" s="1">
        <v>88470</v>
      </c>
      <c r="E1875" s="1">
        <v>527915</v>
      </c>
      <c r="F1875" s="2">
        <v>40412</v>
      </c>
    </row>
    <row r="1876" spans="1:6" x14ac:dyDescent="0.25">
      <c r="A1876">
        <v>2017</v>
      </c>
      <c r="B1876" t="s">
        <v>60</v>
      </c>
      <c r="C1876" t="s">
        <v>5</v>
      </c>
      <c r="D1876" s="1">
        <v>15777</v>
      </c>
      <c r="E1876" s="1">
        <v>80034</v>
      </c>
      <c r="F1876" s="2">
        <v>39558</v>
      </c>
    </row>
    <row r="1877" spans="1:6" x14ac:dyDescent="0.25">
      <c r="A1877">
        <v>2017</v>
      </c>
      <c r="B1877" t="s">
        <v>60</v>
      </c>
      <c r="C1877" t="s">
        <v>6</v>
      </c>
      <c r="D1877" s="1">
        <v>16529</v>
      </c>
      <c r="E1877" s="1">
        <v>64279</v>
      </c>
      <c r="F1877" s="2">
        <v>33397</v>
      </c>
    </row>
    <row r="1878" spans="1:6" x14ac:dyDescent="0.25">
      <c r="A1878">
        <v>2017</v>
      </c>
      <c r="B1878" t="s">
        <v>60</v>
      </c>
      <c r="C1878" t="s">
        <v>7</v>
      </c>
      <c r="D1878" s="1">
        <v>2003</v>
      </c>
      <c r="E1878" s="1">
        <v>11881</v>
      </c>
      <c r="F1878" s="2">
        <v>33610</v>
      </c>
    </row>
    <row r="1879" spans="1:6" x14ac:dyDescent="0.25">
      <c r="A1879">
        <v>2017</v>
      </c>
      <c r="B1879" t="s">
        <v>60</v>
      </c>
      <c r="C1879" t="s">
        <v>8</v>
      </c>
      <c r="D1879" s="1">
        <v>54928</v>
      </c>
      <c r="E1879" s="1">
        <v>273903</v>
      </c>
      <c r="F1879" s="2">
        <v>35319</v>
      </c>
    </row>
    <row r="1880" spans="1:6" x14ac:dyDescent="0.25">
      <c r="A1880">
        <v>2017</v>
      </c>
      <c r="B1880" t="s">
        <v>60</v>
      </c>
      <c r="C1880" t="s">
        <v>9</v>
      </c>
      <c r="D1880" s="1">
        <v>18097</v>
      </c>
      <c r="E1880" s="1">
        <v>106445</v>
      </c>
      <c r="F1880" s="2">
        <v>35520</v>
      </c>
    </row>
    <row r="1881" spans="1:6" x14ac:dyDescent="0.25">
      <c r="A1881">
        <v>2017</v>
      </c>
      <c r="B1881" t="s">
        <v>60</v>
      </c>
      <c r="C1881" t="s">
        <v>10</v>
      </c>
      <c r="D1881" s="1">
        <v>3888</v>
      </c>
      <c r="E1881" s="1">
        <v>17915</v>
      </c>
      <c r="F1881" s="2">
        <v>30056</v>
      </c>
    </row>
    <row r="1882" spans="1:6" x14ac:dyDescent="0.25">
      <c r="A1882">
        <v>2017</v>
      </c>
      <c r="B1882" t="s">
        <v>60</v>
      </c>
      <c r="C1882" t="s">
        <v>11</v>
      </c>
      <c r="D1882" s="1">
        <v>39500</v>
      </c>
      <c r="E1882" s="1">
        <v>206494</v>
      </c>
      <c r="F1882" s="2">
        <v>41240</v>
      </c>
    </row>
    <row r="1883" spans="1:6" x14ac:dyDescent="0.25">
      <c r="A1883">
        <v>2017</v>
      </c>
      <c r="B1883" t="s">
        <v>60</v>
      </c>
      <c r="C1883" t="s">
        <v>12</v>
      </c>
      <c r="D1883" s="1">
        <v>13113</v>
      </c>
      <c r="E1883" s="1">
        <v>86944</v>
      </c>
      <c r="F1883" s="2">
        <v>31882</v>
      </c>
    </row>
    <row r="1884" spans="1:6" x14ac:dyDescent="0.25">
      <c r="A1884">
        <v>2017</v>
      </c>
      <c r="B1884" t="s">
        <v>60</v>
      </c>
      <c r="C1884" t="s">
        <v>13</v>
      </c>
      <c r="D1884" s="1">
        <v>8710</v>
      </c>
      <c r="E1884" s="1">
        <v>42498</v>
      </c>
      <c r="F1884" s="2">
        <v>33069</v>
      </c>
    </row>
    <row r="1885" spans="1:6" x14ac:dyDescent="0.25">
      <c r="A1885">
        <v>2017</v>
      </c>
      <c r="B1885" t="s">
        <v>60</v>
      </c>
      <c r="C1885" t="s">
        <v>14</v>
      </c>
      <c r="D1885" s="1">
        <v>6031</v>
      </c>
      <c r="E1885" s="1">
        <v>33578</v>
      </c>
      <c r="F1885" s="2">
        <v>33575</v>
      </c>
    </row>
    <row r="1886" spans="1:6" x14ac:dyDescent="0.25">
      <c r="A1886">
        <v>2017</v>
      </c>
      <c r="B1886" t="s">
        <v>60</v>
      </c>
      <c r="C1886" t="s">
        <v>15</v>
      </c>
      <c r="D1886" s="1">
        <v>10912</v>
      </c>
      <c r="E1886" s="1">
        <v>46382</v>
      </c>
      <c r="F1886" s="2">
        <v>32330</v>
      </c>
    </row>
    <row r="1887" spans="1:6" x14ac:dyDescent="0.25">
      <c r="A1887">
        <v>2017</v>
      </c>
      <c r="B1887" t="s">
        <v>60</v>
      </c>
      <c r="C1887" t="s">
        <v>16</v>
      </c>
      <c r="D1887" s="1">
        <v>9250</v>
      </c>
      <c r="E1887" s="1">
        <v>45963</v>
      </c>
      <c r="F1887" s="2">
        <v>36468</v>
      </c>
    </row>
    <row r="1888" spans="1:6" x14ac:dyDescent="0.25">
      <c r="A1888">
        <v>2017</v>
      </c>
      <c r="B1888" t="s">
        <v>60</v>
      </c>
      <c r="C1888" t="s">
        <v>17</v>
      </c>
      <c r="D1888" s="1">
        <v>4028</v>
      </c>
      <c r="E1888" s="1">
        <v>17774</v>
      </c>
      <c r="F1888" s="2">
        <v>32993</v>
      </c>
    </row>
    <row r="1889" spans="1:6" x14ac:dyDescent="0.25">
      <c r="A1889">
        <v>2017</v>
      </c>
      <c r="B1889" t="s">
        <v>60</v>
      </c>
      <c r="C1889" t="s">
        <v>18</v>
      </c>
      <c r="D1889" s="1">
        <v>19506</v>
      </c>
      <c r="E1889" s="1">
        <v>91492</v>
      </c>
      <c r="F1889" s="2">
        <v>41793</v>
      </c>
    </row>
    <row r="1890" spans="1:6" x14ac:dyDescent="0.25">
      <c r="A1890">
        <v>2017</v>
      </c>
      <c r="B1890" t="s">
        <v>60</v>
      </c>
      <c r="C1890" t="s">
        <v>19</v>
      </c>
      <c r="D1890" s="1">
        <v>21677</v>
      </c>
      <c r="E1890" s="1">
        <v>118160</v>
      </c>
      <c r="F1890" s="2">
        <v>37032</v>
      </c>
    </row>
    <row r="1891" spans="1:6" x14ac:dyDescent="0.25">
      <c r="A1891">
        <v>2017</v>
      </c>
      <c r="B1891" t="s">
        <v>60</v>
      </c>
      <c r="C1891" t="s">
        <v>20</v>
      </c>
      <c r="D1891" s="1">
        <v>29930</v>
      </c>
      <c r="E1891" s="1">
        <v>137568</v>
      </c>
      <c r="F1891" s="2">
        <v>32157</v>
      </c>
    </row>
    <row r="1892" spans="1:6" x14ac:dyDescent="0.25">
      <c r="A1892">
        <v>2017</v>
      </c>
      <c r="B1892" t="s">
        <v>60</v>
      </c>
      <c r="C1892" t="s">
        <v>21</v>
      </c>
      <c r="D1892" s="1">
        <v>16226</v>
      </c>
      <c r="E1892" s="1">
        <v>90138</v>
      </c>
      <c r="F1892" s="2">
        <v>33237</v>
      </c>
    </row>
    <row r="1893" spans="1:6" x14ac:dyDescent="0.25">
      <c r="A1893">
        <v>2017</v>
      </c>
      <c r="B1893" t="s">
        <v>60</v>
      </c>
      <c r="C1893" t="s">
        <v>22</v>
      </c>
      <c r="D1893" s="1">
        <v>4726</v>
      </c>
      <c r="E1893" s="1">
        <v>21154</v>
      </c>
      <c r="F1893" s="2">
        <v>33958</v>
      </c>
    </row>
    <row r="1894" spans="1:6" x14ac:dyDescent="0.25">
      <c r="A1894">
        <v>2017</v>
      </c>
      <c r="B1894" t="s">
        <v>60</v>
      </c>
      <c r="C1894" t="s">
        <v>23</v>
      </c>
      <c r="D1894" s="1">
        <v>13734</v>
      </c>
      <c r="E1894" s="1">
        <v>76037</v>
      </c>
      <c r="F1894" s="2">
        <v>32705</v>
      </c>
    </row>
    <row r="1895" spans="1:6" x14ac:dyDescent="0.25">
      <c r="A1895">
        <v>2017</v>
      </c>
      <c r="B1895" t="s">
        <v>60</v>
      </c>
      <c r="C1895" t="s">
        <v>24</v>
      </c>
      <c r="D1895" s="1">
        <v>4094</v>
      </c>
      <c r="E1895" s="1">
        <v>17909</v>
      </c>
      <c r="F1895" s="2">
        <v>29177</v>
      </c>
    </row>
    <row r="1896" spans="1:6" x14ac:dyDescent="0.25">
      <c r="A1896">
        <v>2017</v>
      </c>
      <c r="B1896" t="s">
        <v>60</v>
      </c>
      <c r="C1896" t="s">
        <v>25</v>
      </c>
      <c r="D1896" s="1">
        <v>4671</v>
      </c>
      <c r="E1896" s="1">
        <v>25082</v>
      </c>
      <c r="F1896" s="2">
        <v>31310</v>
      </c>
    </row>
    <row r="1897" spans="1:6" x14ac:dyDescent="0.25">
      <c r="A1897">
        <v>2017</v>
      </c>
      <c r="B1897" t="s">
        <v>60</v>
      </c>
      <c r="C1897" t="s">
        <v>26</v>
      </c>
      <c r="D1897" s="1">
        <v>4959</v>
      </c>
      <c r="E1897" s="1">
        <v>33667</v>
      </c>
      <c r="F1897" s="2">
        <v>36336</v>
      </c>
    </row>
    <row r="1898" spans="1:6" x14ac:dyDescent="0.25">
      <c r="A1898">
        <v>2017</v>
      </c>
      <c r="B1898" t="s">
        <v>60</v>
      </c>
      <c r="C1898" t="s">
        <v>27</v>
      </c>
      <c r="D1898" s="1">
        <v>3871</v>
      </c>
      <c r="E1898" s="1">
        <v>20493</v>
      </c>
      <c r="F1898" s="2">
        <v>36646</v>
      </c>
    </row>
    <row r="1899" spans="1:6" x14ac:dyDescent="0.25">
      <c r="A1899">
        <v>2017</v>
      </c>
      <c r="B1899" t="s">
        <v>60</v>
      </c>
      <c r="C1899" t="s">
        <v>28</v>
      </c>
      <c r="D1899" s="1">
        <v>25881</v>
      </c>
      <c r="E1899" s="1">
        <v>136480</v>
      </c>
      <c r="F1899" s="2">
        <v>35059</v>
      </c>
    </row>
    <row r="1900" spans="1:6" x14ac:dyDescent="0.25">
      <c r="A1900">
        <v>2017</v>
      </c>
      <c r="B1900" t="s">
        <v>60</v>
      </c>
      <c r="C1900" t="s">
        <v>29</v>
      </c>
      <c r="D1900" s="1">
        <v>3961</v>
      </c>
      <c r="E1900" s="1">
        <v>20593</v>
      </c>
      <c r="F1900" s="2">
        <v>32578</v>
      </c>
    </row>
    <row r="1901" spans="1:6" x14ac:dyDescent="0.25">
      <c r="A1901">
        <v>2017</v>
      </c>
      <c r="B1901" t="s">
        <v>60</v>
      </c>
      <c r="C1901" t="s">
        <v>30</v>
      </c>
      <c r="D1901" s="1">
        <v>74536</v>
      </c>
      <c r="E1901" s="1">
        <v>369805</v>
      </c>
      <c r="F1901" s="2">
        <v>40436</v>
      </c>
    </row>
    <row r="1902" spans="1:6" x14ac:dyDescent="0.25">
      <c r="A1902">
        <v>2017</v>
      </c>
      <c r="B1902" t="s">
        <v>60</v>
      </c>
      <c r="C1902" t="s">
        <v>31</v>
      </c>
      <c r="D1902" s="1">
        <v>23024</v>
      </c>
      <c r="E1902" s="1">
        <v>107404</v>
      </c>
      <c r="F1902" s="2">
        <v>33978</v>
      </c>
    </row>
    <row r="1903" spans="1:6" x14ac:dyDescent="0.25">
      <c r="A1903">
        <v>2017</v>
      </c>
      <c r="B1903" t="s">
        <v>60</v>
      </c>
      <c r="C1903" t="s">
        <v>32</v>
      </c>
      <c r="D1903" s="1">
        <v>2040</v>
      </c>
      <c r="E1903" s="1">
        <v>12231</v>
      </c>
      <c r="F1903" s="2">
        <v>34167</v>
      </c>
    </row>
    <row r="1904" spans="1:6" x14ac:dyDescent="0.25">
      <c r="A1904">
        <v>2017</v>
      </c>
      <c r="B1904" t="s">
        <v>60</v>
      </c>
      <c r="C1904" t="s">
        <v>33</v>
      </c>
      <c r="D1904" s="1">
        <v>23601</v>
      </c>
      <c r="E1904" s="1">
        <v>155257</v>
      </c>
      <c r="F1904" s="2">
        <v>33039</v>
      </c>
    </row>
    <row r="1905" spans="1:6" x14ac:dyDescent="0.25">
      <c r="A1905">
        <v>2017</v>
      </c>
      <c r="B1905" t="s">
        <v>60</v>
      </c>
      <c r="C1905" t="s">
        <v>34</v>
      </c>
      <c r="D1905" s="1">
        <v>6751</v>
      </c>
      <c r="E1905" s="1">
        <v>35772</v>
      </c>
      <c r="F1905" s="2">
        <v>34306</v>
      </c>
    </row>
    <row r="1906" spans="1:6" x14ac:dyDescent="0.25">
      <c r="A1906">
        <v>2017</v>
      </c>
      <c r="B1906" t="s">
        <v>60</v>
      </c>
      <c r="C1906" t="s">
        <v>35</v>
      </c>
      <c r="D1906" s="1">
        <v>22753</v>
      </c>
      <c r="E1906" s="1">
        <v>77028</v>
      </c>
      <c r="F1906" s="2">
        <v>31901</v>
      </c>
    </row>
    <row r="1907" spans="1:6" x14ac:dyDescent="0.25">
      <c r="A1907">
        <v>2017</v>
      </c>
      <c r="B1907" t="s">
        <v>60</v>
      </c>
      <c r="C1907" t="s">
        <v>36</v>
      </c>
      <c r="D1907" s="1">
        <v>32259</v>
      </c>
      <c r="E1907" s="1">
        <v>197527</v>
      </c>
      <c r="F1907" s="2">
        <v>32593</v>
      </c>
    </row>
    <row r="1908" spans="1:6" x14ac:dyDescent="0.25">
      <c r="A1908">
        <v>2017</v>
      </c>
      <c r="B1908" t="s">
        <v>60</v>
      </c>
      <c r="C1908" t="s">
        <v>37</v>
      </c>
      <c r="D1908" s="1">
        <v>3395</v>
      </c>
      <c r="E1908" s="1">
        <v>17959</v>
      </c>
      <c r="F1908" s="2">
        <v>32566</v>
      </c>
    </row>
    <row r="1909" spans="1:6" x14ac:dyDescent="0.25">
      <c r="A1909">
        <v>2017</v>
      </c>
      <c r="B1909" t="s">
        <v>60</v>
      </c>
      <c r="C1909" t="s">
        <v>38</v>
      </c>
      <c r="D1909" s="1">
        <v>11490</v>
      </c>
      <c r="E1909" s="1">
        <v>51779</v>
      </c>
      <c r="F1909" s="2">
        <v>32842</v>
      </c>
    </row>
    <row r="1910" spans="1:6" x14ac:dyDescent="0.25">
      <c r="A1910">
        <v>2017</v>
      </c>
      <c r="B1910" t="s">
        <v>60</v>
      </c>
      <c r="C1910" t="s">
        <v>39</v>
      </c>
      <c r="D1910" s="1">
        <v>2171</v>
      </c>
      <c r="E1910" s="1">
        <v>11078</v>
      </c>
      <c r="F1910" s="2">
        <v>31403</v>
      </c>
    </row>
    <row r="1911" spans="1:6" x14ac:dyDescent="0.25">
      <c r="A1911">
        <v>2017</v>
      </c>
      <c r="B1911" t="s">
        <v>60</v>
      </c>
      <c r="C1911" t="s">
        <v>40</v>
      </c>
      <c r="D1911" s="1">
        <v>14618</v>
      </c>
      <c r="E1911" s="1">
        <v>76045</v>
      </c>
      <c r="F1911" s="2">
        <v>34443</v>
      </c>
    </row>
    <row r="1912" spans="1:6" x14ac:dyDescent="0.25">
      <c r="A1912">
        <v>2017</v>
      </c>
      <c r="B1912" t="s">
        <v>60</v>
      </c>
      <c r="C1912" t="s">
        <v>41</v>
      </c>
      <c r="D1912" s="1">
        <v>56060</v>
      </c>
      <c r="E1912" s="1">
        <v>328026</v>
      </c>
      <c r="F1912" s="2">
        <v>37841</v>
      </c>
    </row>
    <row r="1913" spans="1:6" x14ac:dyDescent="0.25">
      <c r="A1913">
        <v>2017</v>
      </c>
      <c r="B1913" t="s">
        <v>60</v>
      </c>
      <c r="C1913" t="s">
        <v>42</v>
      </c>
      <c r="D1913" s="1">
        <v>6084</v>
      </c>
      <c r="E1913" s="1">
        <v>35143</v>
      </c>
      <c r="F1913" s="2">
        <v>34421</v>
      </c>
    </row>
    <row r="1914" spans="1:6" x14ac:dyDescent="0.25">
      <c r="A1914">
        <v>2017</v>
      </c>
      <c r="B1914" t="s">
        <v>60</v>
      </c>
      <c r="C1914" t="s">
        <v>43</v>
      </c>
      <c r="D1914" s="1">
        <v>1958</v>
      </c>
      <c r="E1914" s="1">
        <v>8658</v>
      </c>
      <c r="F1914" s="2">
        <v>34757</v>
      </c>
    </row>
    <row r="1915" spans="1:6" x14ac:dyDescent="0.25">
      <c r="A1915">
        <v>2017</v>
      </c>
      <c r="B1915" t="s">
        <v>60</v>
      </c>
      <c r="C1915" t="s">
        <v>44</v>
      </c>
      <c r="D1915" s="1">
        <v>32154</v>
      </c>
      <c r="E1915" s="1">
        <v>141985</v>
      </c>
      <c r="F1915" s="2">
        <v>42290</v>
      </c>
    </row>
    <row r="1916" spans="1:6" x14ac:dyDescent="0.25">
      <c r="A1916">
        <v>2017</v>
      </c>
      <c r="B1916" t="s">
        <v>60</v>
      </c>
      <c r="C1916" t="s">
        <v>45</v>
      </c>
      <c r="D1916" s="1">
        <v>19701</v>
      </c>
      <c r="E1916" s="1">
        <v>97492</v>
      </c>
      <c r="F1916" s="2">
        <v>38822</v>
      </c>
    </row>
    <row r="1917" spans="1:6" x14ac:dyDescent="0.25">
      <c r="A1917">
        <v>2017</v>
      </c>
      <c r="B1917" t="s">
        <v>60</v>
      </c>
      <c r="C1917" t="s">
        <v>46</v>
      </c>
      <c r="D1917" s="1">
        <v>5237</v>
      </c>
      <c r="E1917" s="1">
        <v>19979</v>
      </c>
      <c r="F1917" s="2">
        <v>29927</v>
      </c>
    </row>
    <row r="1918" spans="1:6" x14ac:dyDescent="0.25">
      <c r="A1918">
        <v>2017</v>
      </c>
      <c r="B1918" t="s">
        <v>60</v>
      </c>
      <c r="C1918" t="s">
        <v>47</v>
      </c>
      <c r="D1918" s="1">
        <v>14001</v>
      </c>
      <c r="E1918" s="1">
        <v>84153</v>
      </c>
      <c r="F1918" s="2">
        <v>29242</v>
      </c>
    </row>
    <row r="1919" spans="1:6" x14ac:dyDescent="0.25">
      <c r="A1919">
        <v>2017</v>
      </c>
      <c r="B1919" t="s">
        <v>60</v>
      </c>
      <c r="C1919" t="s">
        <v>48</v>
      </c>
      <c r="D1919" s="1">
        <v>1656</v>
      </c>
      <c r="E1919" s="1">
        <v>7231</v>
      </c>
      <c r="F1919" s="2">
        <v>35035</v>
      </c>
    </row>
  </sheetData>
  <customSheetViews>
    <customSheetView guid="{948164EF-B902-4A6C-8E3C-A935061C5153}" state="hidden">
      <selection activeCell="F150" sqref="F150"/>
      <pageMargins left="0.7" right="0.7" top="0.75" bottom="0.75" header="0.3" footer="0.3"/>
      <pageSetup orientation="portrait" r:id="rId1"/>
    </customSheetView>
    <customSheetView guid="{A1F01C08-243B-48FC-94A8-F102AEB1706D}">
      <selection activeCell="F150" sqref="F150"/>
      <pageMargins left="0.7" right="0.7" top="0.75" bottom="0.75" header="0.3" footer="0.3"/>
      <pageSetup orientation="portrait" r:id="rId2"/>
    </customSheetView>
  </customSheetView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26E5-0011-497D-8F5E-4B2E56443F19}">
  <dimension ref="A1:T50"/>
  <sheetViews>
    <sheetView workbookViewId="0">
      <selection activeCell="I5" sqref="I5"/>
    </sheetView>
  </sheetViews>
  <sheetFormatPr defaultRowHeight="15" x14ac:dyDescent="0.25"/>
  <cols>
    <col min="1" max="1" width="21.7109375" bestFit="1" customWidth="1"/>
    <col min="2" max="2" width="18.28515625" customWidth="1"/>
    <col min="4" max="4" width="20.42578125" customWidth="1"/>
    <col min="5" max="5" width="16.7109375" bestFit="1" customWidth="1"/>
    <col min="6" max="6" width="16.7109375" customWidth="1"/>
    <col min="8" max="8" width="21.85546875" customWidth="1"/>
    <col min="9" max="9" width="12.85546875" customWidth="1"/>
    <col min="12" max="12" width="13.7109375" customWidth="1"/>
    <col min="13" max="13" width="18.28515625" customWidth="1"/>
    <col min="15" max="15" width="17.28515625" customWidth="1"/>
    <col min="16" max="16" width="16.85546875" customWidth="1"/>
    <col min="17" max="17" width="14.5703125" customWidth="1"/>
    <col min="18" max="18" width="25" bestFit="1" customWidth="1"/>
    <col min="19" max="19" width="14.42578125" customWidth="1"/>
    <col min="20" max="20" width="25" bestFit="1" customWidth="1"/>
  </cols>
  <sheetData>
    <row r="1" spans="1:20" x14ac:dyDescent="0.25">
      <c r="A1" s="9" t="s">
        <v>64</v>
      </c>
      <c r="B1" s="9"/>
      <c r="D1" s="7" t="s">
        <v>69</v>
      </c>
      <c r="E1" s="7"/>
      <c r="F1" s="7"/>
      <c r="H1" s="7" t="s">
        <v>70</v>
      </c>
      <c r="I1" s="7"/>
      <c r="K1" s="7" t="s">
        <v>73</v>
      </c>
      <c r="L1" s="7"/>
      <c r="M1" s="7"/>
      <c r="O1" s="7" t="s">
        <v>74</v>
      </c>
      <c r="P1" s="7"/>
      <c r="Q1" s="7"/>
      <c r="R1" s="7"/>
      <c r="S1" s="7"/>
      <c r="T1" s="7"/>
    </row>
    <row r="2" spans="1:20" x14ac:dyDescent="0.25">
      <c r="A2" s="8" t="s">
        <v>49</v>
      </c>
      <c r="B2" s="8" t="s">
        <v>65</v>
      </c>
      <c r="D2" s="6" t="s">
        <v>49</v>
      </c>
      <c r="E2" s="6" t="s">
        <v>63</v>
      </c>
      <c r="F2" s="6" t="s">
        <v>65</v>
      </c>
      <c r="H2" s="6" t="s">
        <v>49</v>
      </c>
      <c r="I2" s="6" t="s">
        <v>62</v>
      </c>
      <c r="K2" s="6" t="s">
        <v>50</v>
      </c>
      <c r="L2" s="6" t="s">
        <v>68</v>
      </c>
      <c r="M2" s="6" t="s">
        <v>62</v>
      </c>
      <c r="O2" s="6" t="s">
        <v>0</v>
      </c>
      <c r="P2" s="6" t="s">
        <v>62</v>
      </c>
      <c r="Q2" s="6" t="s">
        <v>75</v>
      </c>
      <c r="R2" s="6" t="s">
        <v>76</v>
      </c>
      <c r="S2" s="6" t="s">
        <v>77</v>
      </c>
      <c r="T2" s="6" t="str">
        <f>B18</f>
        <v>Average Wages</v>
      </c>
    </row>
    <row r="3" spans="1:20" x14ac:dyDescent="0.25">
      <c r="A3" t="s">
        <v>57</v>
      </c>
      <c r="B3" t="str">
        <f>Dashboard!B6</f>
        <v>Information</v>
      </c>
      <c r="D3" t="s">
        <v>53</v>
      </c>
      <c r="E3" s="2">
        <f>AVERAGEIFS(Data!F:F,Data!B:B,D3,Data!A:A,$B$15)</f>
        <v>93586.333333333328</v>
      </c>
      <c r="F3" s="2">
        <f>IF(D3=$B$3,E3,0)</f>
        <v>93586.333333333328</v>
      </c>
      <c r="H3" t="s">
        <v>54</v>
      </c>
      <c r="I3" s="1"/>
      <c r="K3">
        <v>2017</v>
      </c>
      <c r="L3" s="2">
        <f>AVERAGEIFS(Data!F:F,Data!B:B,'Data Prep'!$B$3,Data!A:A,'Data Prep'!K3)</f>
        <v>75580.708333333328</v>
      </c>
      <c r="M3" s="1">
        <f>SUMIFS(Data!E:E,Data!B:B,'Data Prep'!$B$3,Data!A:A,'Data Prep'!K3)</f>
        <v>2760656</v>
      </c>
      <c r="O3" t="s">
        <v>1</v>
      </c>
      <c r="P3" s="1">
        <f>SUMIFS(Data!E:E,Data!B:B,'Data Prep'!$B$3,Data!A:A,'Data Prep'!$B$15,Data!C:C,'Data Prep'!O3)</f>
        <v>19310</v>
      </c>
      <c r="Q3" vm="1">
        <v>4887871</v>
      </c>
      <c r="R3" s="10">
        <f>P3/Q3*1000</f>
        <v>3.9505952591629363</v>
      </c>
      <c r="S3" s="2">
        <f>AVERAGEIFS(Data!F:F,Data!B:B,'Data Prep'!$B$3,Data!A:A,'Data Prep'!$B$15,Data!C:C,'Data Prep'!O3)</f>
        <v>69393</v>
      </c>
      <c r="T3" s="11">
        <f>IF($T$2=$S$2,-S3,R3)</f>
        <v>-69393</v>
      </c>
    </row>
    <row r="4" spans="1:20" x14ac:dyDescent="0.25">
      <c r="A4" t="s">
        <v>51</v>
      </c>
      <c r="D4" t="s">
        <v>56</v>
      </c>
      <c r="E4" s="2">
        <f>AVERAGEIFS(Data!F:F,Data!B:B,D4,Data!A:A,$B$15)</f>
        <v>90040.666666666672</v>
      </c>
      <c r="F4" s="2">
        <f t="shared" ref="F4:F12" si="0">IF(D4=$B$3,E4,0)</f>
        <v>0</v>
      </c>
      <c r="H4" t="s">
        <v>58</v>
      </c>
      <c r="I4" s="1"/>
      <c r="K4">
        <v>2018</v>
      </c>
      <c r="L4" s="2">
        <f>AVERAGEIFS(Data!F:F,Data!B:B,'Data Prep'!$B$3,Data!A:A,'Data Prep'!K4)</f>
        <v>79569.104166666672</v>
      </c>
      <c r="M4" s="1">
        <f>SUMIFS(Data!E:E,Data!B:B,'Data Prep'!$B$3,Data!A:A,'Data Prep'!K4)</f>
        <v>2781425</v>
      </c>
      <c r="O4" t="s">
        <v>2</v>
      </c>
      <c r="P4" s="1">
        <f>SUMIFS(Data!E:E,Data!B:B,'Data Prep'!$B$3,Data!A:A,'Data Prep'!$B$15,Data!C:C,'Data Prep'!O4)</f>
        <v>45513</v>
      </c>
      <c r="Q4" vm="2">
        <v>7171646</v>
      </c>
      <c r="R4" s="10">
        <f t="shared" ref="R4:R50" si="1">P4/Q4*1000</f>
        <v>6.3462418529860507</v>
      </c>
      <c r="S4" s="2">
        <f>AVERAGEIFS(Data!F:F,Data!B:B,'Data Prep'!$B$3,Data!A:A,'Data Prep'!$B$15,Data!C:C,'Data Prep'!O4)</f>
        <v>90871</v>
      </c>
      <c r="T4" s="11">
        <f t="shared" ref="T4:T50" si="2">IF($T$2=$S$2,-S4,R4)</f>
        <v>-90871</v>
      </c>
    </row>
    <row r="5" spans="1:20" x14ac:dyDescent="0.25">
      <c r="A5" t="s">
        <v>58</v>
      </c>
      <c r="D5" t="s">
        <v>57</v>
      </c>
      <c r="E5" s="2">
        <f>AVERAGEIFS(Data!F:F,Data!B:B,D5,Data!A:A,$B$15)</f>
        <v>74713.0625</v>
      </c>
      <c r="F5" s="2">
        <f t="shared" si="0"/>
        <v>0</v>
      </c>
      <c r="H5" t="s">
        <v>57</v>
      </c>
      <c r="I5" s="1">
        <f>SUMIFS(Data!E:E,Data!B:B,H5,Data!A:A,'Data Prep'!$B$15)</f>
        <v>20065896</v>
      </c>
      <c r="K5">
        <v>2019</v>
      </c>
      <c r="L5" s="2">
        <f>AVERAGEIFS(Data!F:F,Data!B:B,'Data Prep'!$B$3,Data!A:A,'Data Prep'!K5)</f>
        <v>83493.333333333328</v>
      </c>
      <c r="M5" s="1">
        <f>SUMIFS(Data!E:E,Data!B:B,'Data Prep'!$B$3,Data!A:A,'Data Prep'!K5)</f>
        <v>2815141</v>
      </c>
      <c r="O5" t="s">
        <v>3</v>
      </c>
      <c r="P5" s="1">
        <f>SUMIFS(Data!E:E,Data!B:B,'Data Prep'!$B$3,Data!A:A,'Data Prep'!$B$15,Data!C:C,'Data Prep'!O5)</f>
        <v>11509</v>
      </c>
      <c r="Q5" vm="3">
        <v>3013825</v>
      </c>
      <c r="R5" s="10">
        <f t="shared" si="1"/>
        <v>3.8187353280299954</v>
      </c>
      <c r="S5" s="2">
        <f>AVERAGEIFS(Data!F:F,Data!B:B,'Data Prep'!$B$3,Data!A:A,'Data Prep'!$B$15,Data!C:C,'Data Prep'!O5)</f>
        <v>69820</v>
      </c>
      <c r="T5" s="11">
        <f t="shared" si="2"/>
        <v>-69820</v>
      </c>
    </row>
    <row r="6" spans="1:20" x14ac:dyDescent="0.25">
      <c r="A6" t="s">
        <v>56</v>
      </c>
      <c r="D6" t="s">
        <v>52</v>
      </c>
      <c r="E6" s="2">
        <f>AVERAGEIFS(Data!F:F,Data!B:B,D6,Data!A:A,$B$15)</f>
        <v>68427.875</v>
      </c>
      <c r="F6" s="2">
        <f t="shared" si="0"/>
        <v>0</v>
      </c>
      <c r="H6" t="s">
        <v>59</v>
      </c>
      <c r="I6" s="1">
        <f>SUMIFS(Data!E:E,Data!B:B,H6,Data!A:A,'Data Prep'!$B$15)</f>
        <v>12649500</v>
      </c>
      <c r="K6">
        <v>2020</v>
      </c>
      <c r="L6" s="2">
        <f>AVERAGEIFS(Data!F:F,Data!B:B,'Data Prep'!$B$3,Data!A:A,'Data Prep'!K6)</f>
        <v>93586.333333333328</v>
      </c>
      <c r="M6" s="1">
        <f>SUMIFS(Data!E:E,Data!B:B,'Data Prep'!$B$3,Data!A:A,'Data Prep'!K6)</f>
        <v>2677815</v>
      </c>
      <c r="O6" t="s">
        <v>4</v>
      </c>
      <c r="P6" s="1">
        <f>SUMIFS(Data!E:E,Data!B:B,'Data Prep'!$B$3,Data!A:A,'Data Prep'!$B$15,Data!C:C,'Data Prep'!O6)</f>
        <v>527549</v>
      </c>
      <c r="Q6" vm="4">
        <v>39557045</v>
      </c>
      <c r="R6" s="10">
        <f t="shared" si="1"/>
        <v>13.33641074554482</v>
      </c>
      <c r="S6" s="2">
        <f>AVERAGEIFS(Data!F:F,Data!B:B,'Data Prep'!$B$3,Data!A:A,'Data Prep'!$B$15,Data!C:C,'Data Prep'!O6)</f>
        <v>217892</v>
      </c>
      <c r="T6" s="11">
        <f t="shared" si="2"/>
        <v>-217892</v>
      </c>
    </row>
    <row r="7" spans="1:20" x14ac:dyDescent="0.25">
      <c r="A7" t="s">
        <v>53</v>
      </c>
      <c r="D7" t="s">
        <v>51</v>
      </c>
      <c r="E7" s="2">
        <f>AVERAGEIFS(Data!F:F,Data!B:B,D7,Data!A:A,$B$15)</f>
        <v>63896.895833333336</v>
      </c>
      <c r="F7" s="2">
        <f t="shared" si="0"/>
        <v>0</v>
      </c>
      <c r="H7" t="s">
        <v>52</v>
      </c>
      <c r="I7" s="1">
        <f>SUMIFS(Data!E:E,Data!B:B,H7,Data!A:A,'Data Prep'!$B$15)</f>
        <v>12058694</v>
      </c>
      <c r="O7" t="s">
        <v>5</v>
      </c>
      <c r="P7" s="1">
        <f>SUMIFS(Data!E:E,Data!B:B,'Data Prep'!$B$3,Data!A:A,'Data Prep'!$B$15,Data!C:C,'Data Prep'!O7)</f>
        <v>74867</v>
      </c>
      <c r="Q7" vm="5">
        <v>5695564</v>
      </c>
      <c r="R7" s="10">
        <f t="shared" si="1"/>
        <v>13.144791279669581</v>
      </c>
      <c r="S7" s="2">
        <f>AVERAGEIFS(Data!F:F,Data!B:B,'Data Prep'!$B$3,Data!A:A,'Data Prep'!$B$15,Data!C:C,'Data Prep'!O7)</f>
        <v>123495</v>
      </c>
      <c r="T7" s="11">
        <f t="shared" si="2"/>
        <v>-123495</v>
      </c>
    </row>
    <row r="8" spans="1:20" x14ac:dyDescent="0.25">
      <c r="A8" t="s">
        <v>59</v>
      </c>
      <c r="D8" t="s">
        <v>55</v>
      </c>
      <c r="E8" s="2">
        <f>AVERAGEIFS(Data!F:F,Data!B:B,D8,Data!A:A,$B$15)</f>
        <v>55605.9375</v>
      </c>
      <c r="F8" s="2">
        <f t="shared" si="0"/>
        <v>0</v>
      </c>
      <c r="H8" t="s">
        <v>56</v>
      </c>
      <c r="I8" s="1">
        <f>SUMIFS(Data!E:E,Data!B:B,H8,Data!A:A,'Data Prep'!$B$15)</f>
        <v>8142043</v>
      </c>
      <c r="O8" t="s">
        <v>6</v>
      </c>
      <c r="P8" s="1">
        <f>SUMIFS(Data!E:E,Data!B:B,'Data Prep'!$B$3,Data!A:A,'Data Prep'!$B$15,Data!C:C,'Data Prep'!O8)</f>
        <v>29237</v>
      </c>
      <c r="Q8" vm="6">
        <v>3572665</v>
      </c>
      <c r="R8" s="10">
        <f t="shared" si="1"/>
        <v>8.1835268630000293</v>
      </c>
      <c r="S8" s="2">
        <f>AVERAGEIFS(Data!F:F,Data!B:B,'Data Prep'!$B$3,Data!A:A,'Data Prep'!$B$15,Data!C:C,'Data Prep'!O8)</f>
        <v>138917</v>
      </c>
      <c r="T8" s="11">
        <f t="shared" si="2"/>
        <v>-138917</v>
      </c>
    </row>
    <row r="9" spans="1:20" x14ac:dyDescent="0.25">
      <c r="A9" t="s">
        <v>52</v>
      </c>
      <c r="D9" t="s">
        <v>58</v>
      </c>
      <c r="E9" s="2">
        <f>AVERAGEIFS(Data!F:F,Data!B:B,D9,Data!A:A,$B$15)</f>
        <v>53607.208333333336</v>
      </c>
      <c r="F9" s="2">
        <f t="shared" si="0"/>
        <v>0</v>
      </c>
      <c r="H9" t="s">
        <v>51</v>
      </c>
      <c r="I9" s="1">
        <f>SUMIFS(Data!E:E,Data!B:B,H9,Data!A:A,'Data Prep'!$B$15)</f>
        <v>7136444</v>
      </c>
      <c r="O9" t="s">
        <v>7</v>
      </c>
      <c r="P9" s="1">
        <f>SUMIFS(Data!E:E,Data!B:B,'Data Prep'!$B$3,Data!A:A,'Data Prep'!$B$15,Data!C:C,'Data Prep'!O9)</f>
        <v>3622</v>
      </c>
      <c r="Q9" vm="7">
        <v>967171</v>
      </c>
      <c r="R9" s="10">
        <f t="shared" si="1"/>
        <v>3.744942724709488</v>
      </c>
      <c r="S9" s="2">
        <f>AVERAGEIFS(Data!F:F,Data!B:B,'Data Prep'!$B$3,Data!A:A,'Data Prep'!$B$15,Data!C:C,'Data Prep'!O9)</f>
        <v>78966</v>
      </c>
      <c r="T9" s="11">
        <f t="shared" si="2"/>
        <v>-78966</v>
      </c>
    </row>
    <row r="10" spans="1:20" x14ac:dyDescent="0.25">
      <c r="A10" t="s">
        <v>55</v>
      </c>
      <c r="D10" t="s">
        <v>54</v>
      </c>
      <c r="E10" s="2">
        <f>AVERAGEIFS(Data!F:F,Data!B:B,D10,Data!A:A,$B$15)</f>
        <v>49366.8125</v>
      </c>
      <c r="F10" s="2">
        <f t="shared" si="0"/>
        <v>0</v>
      </c>
      <c r="H10" t="s">
        <v>60</v>
      </c>
      <c r="I10" s="1">
        <f>SUMIFS(Data!E:E,Data!B:B,H10,Data!A:A,'Data Prep'!$B$15)</f>
        <v>3843699</v>
      </c>
      <c r="O10" t="s">
        <v>8</v>
      </c>
      <c r="P10" s="1">
        <f>SUMIFS(Data!E:E,Data!B:B,'Data Prep'!$B$3,Data!A:A,'Data Prep'!$B$15,Data!C:C,'Data Prep'!O10)</f>
        <v>130298</v>
      </c>
      <c r="Q10" vm="8">
        <v>21670000</v>
      </c>
      <c r="R10" s="10">
        <f t="shared" si="1"/>
        <v>6.0128287955699129</v>
      </c>
      <c r="S10" s="2">
        <f>AVERAGEIFS(Data!F:F,Data!B:B,'Data Prep'!$B$3,Data!A:A,'Data Prep'!$B$15,Data!C:C,'Data Prep'!O10)</f>
        <v>93350</v>
      </c>
      <c r="T10" s="11">
        <f t="shared" si="2"/>
        <v>-93350</v>
      </c>
    </row>
    <row r="11" spans="1:20" x14ac:dyDescent="0.25">
      <c r="A11" t="s">
        <v>60</v>
      </c>
      <c r="D11" t="s">
        <v>60</v>
      </c>
      <c r="E11" s="2">
        <f>AVERAGEIFS(Data!F:F,Data!B:B,D11,Data!A:A,$B$15)</f>
        <v>40790.1875</v>
      </c>
      <c r="F11" s="2">
        <f t="shared" si="0"/>
        <v>0</v>
      </c>
      <c r="H11" t="s">
        <v>53</v>
      </c>
      <c r="I11" s="1">
        <f>SUMIFS(Data!E:E,Data!B:B,H11,Data!A:A,'Data Prep'!$B$15)</f>
        <v>2677815</v>
      </c>
      <c r="O11" t="s">
        <v>9</v>
      </c>
      <c r="P11" s="1">
        <f>SUMIFS(Data!E:E,Data!B:B,'Data Prep'!$B$3,Data!A:A,'Data Prep'!$B$15,Data!C:C,'Data Prep'!O11)</f>
        <v>109190</v>
      </c>
      <c r="Q11" vm="9">
        <v>10519475</v>
      </c>
      <c r="R11" s="10">
        <f t="shared" si="1"/>
        <v>10.379795569645824</v>
      </c>
      <c r="S11" s="2">
        <f>AVERAGEIFS(Data!F:F,Data!B:B,'Data Prep'!$B$3,Data!A:A,'Data Prep'!$B$15,Data!C:C,'Data Prep'!O11)</f>
        <v>108735</v>
      </c>
      <c r="T11" s="11">
        <f t="shared" si="2"/>
        <v>-108735</v>
      </c>
    </row>
    <row r="12" spans="1:20" x14ac:dyDescent="0.25">
      <c r="A12" t="s">
        <v>54</v>
      </c>
      <c r="D12" t="s">
        <v>59</v>
      </c>
      <c r="E12" s="2">
        <f>AVERAGEIFS(Data!F:F,Data!B:B,D12,Data!A:A,$B$15)</f>
        <v>23286.416666666668</v>
      </c>
      <c r="F12" s="2">
        <f t="shared" si="0"/>
        <v>0</v>
      </c>
      <c r="H12" t="s">
        <v>55</v>
      </c>
      <c r="I12" s="1">
        <f>SUMIFS(Data!E:E,Data!B:B,H12,Data!A:A,'Data Prep'!$B$15)</f>
        <v>1762873</v>
      </c>
      <c r="O12" t="s">
        <v>10</v>
      </c>
      <c r="P12" s="1">
        <f>SUMIFS(Data!E:E,Data!B:B,'Data Prep'!$B$3,Data!A:A,'Data Prep'!$B$15,Data!C:C,'Data Prep'!O12)</f>
        <v>7346</v>
      </c>
      <c r="Q12" vm="10">
        <v>1754208</v>
      </c>
      <c r="R12" s="10">
        <f t="shared" si="1"/>
        <v>4.1876447946879729</v>
      </c>
      <c r="S12" s="2">
        <f>AVERAGEIFS(Data!F:F,Data!B:B,'Data Prep'!$B$3,Data!A:A,'Data Prep'!$B$15,Data!C:C,'Data Prep'!O12)</f>
        <v>64408</v>
      </c>
      <c r="T12" s="11">
        <f t="shared" si="2"/>
        <v>-64408</v>
      </c>
    </row>
    <row r="13" spans="1:20" x14ac:dyDescent="0.25">
      <c r="O13" t="s">
        <v>11</v>
      </c>
      <c r="P13" s="1">
        <f>SUMIFS(Data!E:E,Data!B:B,'Data Prep'!$B$3,Data!A:A,'Data Prep'!$B$15,Data!C:C,'Data Prep'!O13)</f>
        <v>87520</v>
      </c>
      <c r="Q13" vm="11">
        <v>12741080</v>
      </c>
      <c r="R13" s="10">
        <f t="shared" si="1"/>
        <v>6.8691194153085924</v>
      </c>
      <c r="S13" s="2">
        <f>AVERAGEIFS(Data!F:F,Data!B:B,'Data Prep'!$B$3,Data!A:A,'Data Prep'!$B$15,Data!C:C,'Data Prep'!O13)</f>
        <v>110059</v>
      </c>
      <c r="T13" s="11">
        <f t="shared" si="2"/>
        <v>-110059</v>
      </c>
    </row>
    <row r="14" spans="1:20" x14ac:dyDescent="0.25">
      <c r="A14" s="9" t="s">
        <v>66</v>
      </c>
      <c r="B14" s="9"/>
      <c r="H14" s="7" t="s">
        <v>71</v>
      </c>
      <c r="I14" s="7"/>
      <c r="O14" t="s">
        <v>12</v>
      </c>
      <c r="P14" s="1">
        <f>SUMIFS(Data!E:E,Data!B:B,'Data Prep'!$B$3,Data!A:A,'Data Prep'!$B$15,Data!C:C,'Data Prep'!O14)</f>
        <v>26075</v>
      </c>
      <c r="Q14" vm="12">
        <v>6691878</v>
      </c>
      <c r="R14" s="10">
        <f t="shared" si="1"/>
        <v>3.8965145509227757</v>
      </c>
      <c r="S14" s="2">
        <f>AVERAGEIFS(Data!F:F,Data!B:B,'Data Prep'!$B$3,Data!A:A,'Data Prep'!$B$15,Data!C:C,'Data Prep'!O14)</f>
        <v>67191</v>
      </c>
      <c r="T14" s="11">
        <f t="shared" si="2"/>
        <v>-67191</v>
      </c>
    </row>
    <row r="15" spans="1:20" x14ac:dyDescent="0.25">
      <c r="A15" s="5" t="s">
        <v>67</v>
      </c>
      <c r="B15" s="4">
        <v>2020</v>
      </c>
      <c r="D15" t="str">
        <f>INDEX(D3:D12,10)</f>
        <v>Leisure &amp; Hospitality</v>
      </c>
      <c r="H15" s="6" t="s">
        <v>49</v>
      </c>
      <c r="I15" s="6" t="s">
        <v>62</v>
      </c>
      <c r="O15" t="s">
        <v>13</v>
      </c>
      <c r="P15" s="1">
        <f>SUMIFS(Data!E:E,Data!B:B,'Data Prep'!$B$3,Data!A:A,'Data Prep'!$B$15,Data!C:C,'Data Prep'!O15)</f>
        <v>19135</v>
      </c>
      <c r="Q15" vm="13">
        <v>3156145</v>
      </c>
      <c r="R15" s="10">
        <f t="shared" si="1"/>
        <v>6.0627759497741707</v>
      </c>
      <c r="S15" s="2">
        <f>AVERAGEIFS(Data!F:F,Data!B:B,'Data Prep'!$B$3,Data!A:A,'Data Prep'!$B$15,Data!C:C,'Data Prep'!O15)</f>
        <v>66858</v>
      </c>
      <c r="T15" s="11">
        <f t="shared" si="2"/>
        <v>-66858</v>
      </c>
    </row>
    <row r="16" spans="1:20" x14ac:dyDescent="0.25">
      <c r="H16" t="str">
        <f>B3</f>
        <v>Information</v>
      </c>
      <c r="I16" s="1">
        <f>VLOOKUP(B3,H3:I12,2,0)</f>
        <v>2677815</v>
      </c>
      <c r="O16" t="s">
        <v>14</v>
      </c>
      <c r="P16" s="1">
        <f>SUMIFS(Data!E:E,Data!B:B,'Data Prep'!$B$3,Data!A:A,'Data Prep'!$B$15,Data!C:C,'Data Prep'!O16)</f>
        <v>16734</v>
      </c>
      <c r="Q16" vm="14">
        <v>2911505</v>
      </c>
      <c r="R16" s="10">
        <f t="shared" si="1"/>
        <v>5.7475429374155294</v>
      </c>
      <c r="S16" s="2">
        <f>AVERAGEIFS(Data!F:F,Data!B:B,'Data Prep'!$B$3,Data!A:A,'Data Prep'!$B$15,Data!C:C,'Data Prep'!O16)</f>
        <v>73749</v>
      </c>
      <c r="T16" s="11">
        <f t="shared" si="2"/>
        <v>-73749</v>
      </c>
    </row>
    <row r="17" spans="1:20" x14ac:dyDescent="0.25">
      <c r="A17" s="9" t="s">
        <v>78</v>
      </c>
      <c r="B17" s="9"/>
      <c r="H17" t="s">
        <v>72</v>
      </c>
      <c r="I17" s="1">
        <f>SUM(I3:I12)-I16</f>
        <v>65659149</v>
      </c>
      <c r="O17" t="s">
        <v>15</v>
      </c>
      <c r="P17" s="1">
        <f>SUMIFS(Data!E:E,Data!B:B,'Data Prep'!$B$3,Data!A:A,'Data Prep'!$B$15,Data!C:C,'Data Prep'!O17)</f>
        <v>20268</v>
      </c>
      <c r="Q17" vm="15">
        <v>4468402</v>
      </c>
      <c r="R17" s="10">
        <f t="shared" si="1"/>
        <v>4.5358497288292332</v>
      </c>
      <c r="S17" s="2">
        <f>AVERAGEIFS(Data!F:F,Data!B:B,'Data Prep'!$B$3,Data!A:A,'Data Prep'!$B$15,Data!C:C,'Data Prep'!O17)</f>
        <v>63462</v>
      </c>
      <c r="T17" s="11">
        <f t="shared" si="2"/>
        <v>-63462</v>
      </c>
    </row>
    <row r="18" spans="1:20" x14ac:dyDescent="0.25">
      <c r="A18" s="5" t="s">
        <v>79</v>
      </c>
      <c r="B18" s="4" t="str">
        <f>IF(Dashboard!A2=1,'Data Prep'!S2,'Data Prep'!R2)</f>
        <v>Average Wages</v>
      </c>
      <c r="O18" t="s">
        <v>16</v>
      </c>
      <c r="P18" s="1">
        <f>SUMIFS(Data!E:E,Data!B:B,'Data Prep'!$B$3,Data!A:A,'Data Prep'!$B$15,Data!C:C,'Data Prep'!O18)</f>
        <v>18712</v>
      </c>
      <c r="Q18" vm="16">
        <v>4659978</v>
      </c>
      <c r="R18" s="10">
        <f t="shared" si="1"/>
        <v>4.015469600929447</v>
      </c>
      <c r="S18" s="2">
        <f>AVERAGEIFS(Data!F:F,Data!B:B,'Data Prep'!$B$3,Data!A:A,'Data Prep'!$B$15,Data!C:C,'Data Prep'!O18)</f>
        <v>65700</v>
      </c>
      <c r="T18" s="11">
        <f t="shared" si="2"/>
        <v>-65700</v>
      </c>
    </row>
    <row r="19" spans="1:20" x14ac:dyDescent="0.25">
      <c r="H19" s="5" t="s">
        <v>80</v>
      </c>
      <c r="I19" s="13">
        <f>I16/SUM(I16:I17)</f>
        <v>3.918545459526121E-2</v>
      </c>
      <c r="O19" t="s">
        <v>17</v>
      </c>
      <c r="P19" s="1">
        <f>SUMIFS(Data!E:E,Data!B:B,'Data Prep'!$B$3,Data!A:A,'Data Prep'!$B$15,Data!C:C,'Data Prep'!O19)</f>
        <v>6415</v>
      </c>
      <c r="Q19" vm="17">
        <v>1338404</v>
      </c>
      <c r="R19" s="10">
        <f t="shared" si="1"/>
        <v>4.7930221368136978</v>
      </c>
      <c r="S19" s="2">
        <f>AVERAGEIFS(Data!F:F,Data!B:B,'Data Prep'!$B$3,Data!A:A,'Data Prep'!$B$15,Data!C:C,'Data Prep'!O19)</f>
        <v>64265</v>
      </c>
      <c r="T19" s="11">
        <f t="shared" si="2"/>
        <v>-64265</v>
      </c>
    </row>
    <row r="20" spans="1:20" x14ac:dyDescent="0.25">
      <c r="O20" t="s">
        <v>18</v>
      </c>
      <c r="P20" s="1">
        <f>SUMIFS(Data!E:E,Data!B:B,'Data Prep'!$B$3,Data!A:A,'Data Prep'!$B$15,Data!C:C,'Data Prep'!O20)</f>
        <v>33029</v>
      </c>
      <c r="Q20" vm="18">
        <v>6042718</v>
      </c>
      <c r="R20" s="10">
        <f t="shared" si="1"/>
        <v>5.4659178204245169</v>
      </c>
      <c r="S20" s="2">
        <f>AVERAGEIFS(Data!F:F,Data!B:B,'Data Prep'!$B$3,Data!A:A,'Data Prep'!$B$15,Data!C:C,'Data Prep'!O20)</f>
        <v>110569</v>
      </c>
      <c r="T20" s="11">
        <f t="shared" si="2"/>
        <v>-110569</v>
      </c>
    </row>
    <row r="21" spans="1:20" x14ac:dyDescent="0.25">
      <c r="O21" t="s">
        <v>19</v>
      </c>
      <c r="P21" s="1">
        <f>SUMIFS(Data!E:E,Data!B:B,'Data Prep'!$B$3,Data!A:A,'Data Prep'!$B$15,Data!C:C,'Data Prep'!O21)</f>
        <v>89231</v>
      </c>
      <c r="Q21" vm="19">
        <v>6902149</v>
      </c>
      <c r="R21" s="10">
        <f t="shared" si="1"/>
        <v>12.928002568475412</v>
      </c>
      <c r="S21" s="2">
        <f>AVERAGEIFS(Data!F:F,Data!B:B,'Data Prep'!$B$3,Data!A:A,'Data Prep'!$B$15,Data!C:C,'Data Prep'!O21)</f>
        <v>146746</v>
      </c>
      <c r="T21" s="11">
        <f t="shared" si="2"/>
        <v>-146746</v>
      </c>
    </row>
    <row r="22" spans="1:20" x14ac:dyDescent="0.25">
      <c r="O22" t="s">
        <v>20</v>
      </c>
      <c r="P22" s="1">
        <f>SUMIFS(Data!E:E,Data!B:B,'Data Prep'!$B$3,Data!A:A,'Data Prep'!$B$15,Data!C:C,'Data Prep'!O22)</f>
        <v>50511</v>
      </c>
      <c r="Q22" vm="20">
        <v>9995915</v>
      </c>
      <c r="R22" s="10">
        <f t="shared" si="1"/>
        <v>5.053164217582883</v>
      </c>
      <c r="S22" s="2">
        <f>AVERAGEIFS(Data!F:F,Data!B:B,'Data Prep'!$B$3,Data!A:A,'Data Prep'!$B$15,Data!C:C,'Data Prep'!O22)</f>
        <v>88745</v>
      </c>
      <c r="T22" s="11">
        <f t="shared" si="2"/>
        <v>-88745</v>
      </c>
    </row>
    <row r="23" spans="1:20" x14ac:dyDescent="0.25">
      <c r="O23" t="s">
        <v>21</v>
      </c>
      <c r="P23" s="1">
        <f>SUMIFS(Data!E:E,Data!B:B,'Data Prep'!$B$3,Data!A:A,'Data Prep'!$B$15,Data!C:C,'Data Prep'!O23)</f>
        <v>43145</v>
      </c>
      <c r="Q23" vm="21">
        <v>5611179</v>
      </c>
      <c r="R23" s="10">
        <f t="shared" si="1"/>
        <v>7.6891148901148938</v>
      </c>
      <c r="S23" s="2">
        <f>AVERAGEIFS(Data!F:F,Data!B:B,'Data Prep'!$B$3,Data!A:A,'Data Prep'!$B$15,Data!C:C,'Data Prep'!O23)</f>
        <v>92292</v>
      </c>
      <c r="T23" s="11">
        <f t="shared" si="2"/>
        <v>-92292</v>
      </c>
    </row>
    <row r="24" spans="1:20" x14ac:dyDescent="0.25">
      <c r="O24" t="s">
        <v>22</v>
      </c>
      <c r="P24" s="1">
        <f>SUMIFS(Data!E:E,Data!B:B,'Data Prep'!$B$3,Data!A:A,'Data Prep'!$B$15,Data!C:C,'Data Prep'!O24)</f>
        <v>9629</v>
      </c>
      <c r="Q24" vm="22">
        <v>2963914</v>
      </c>
      <c r="R24" s="10">
        <f t="shared" si="1"/>
        <v>3.2487447341589535</v>
      </c>
      <c r="S24" s="2">
        <f>AVERAGEIFS(Data!F:F,Data!B:B,'Data Prep'!$B$3,Data!A:A,'Data Prep'!$B$15,Data!C:C,'Data Prep'!O24)</f>
        <v>54301</v>
      </c>
      <c r="T24" s="11">
        <f t="shared" si="2"/>
        <v>-54301</v>
      </c>
    </row>
    <row r="25" spans="1:20" x14ac:dyDescent="0.25">
      <c r="O25" t="s">
        <v>23</v>
      </c>
      <c r="P25" s="1">
        <f>SUMIFS(Data!E:E,Data!B:B,'Data Prep'!$B$3,Data!A:A,'Data Prep'!$B$15,Data!C:C,'Data Prep'!O25)</f>
        <v>43675</v>
      </c>
      <c r="Q25" vm="23">
        <v>6126452</v>
      </c>
      <c r="R25" s="10">
        <f t="shared" si="1"/>
        <v>7.1289222538591668</v>
      </c>
      <c r="S25" s="2">
        <f>AVERAGEIFS(Data!F:F,Data!B:B,'Data Prep'!$B$3,Data!A:A,'Data Prep'!$B$15,Data!C:C,'Data Prep'!O25)</f>
        <v>89327</v>
      </c>
      <c r="T25" s="11">
        <f t="shared" si="2"/>
        <v>-89327</v>
      </c>
    </row>
    <row r="26" spans="1:20" x14ac:dyDescent="0.25">
      <c r="O26" t="s">
        <v>24</v>
      </c>
      <c r="P26" s="1">
        <f>SUMIFS(Data!E:E,Data!B:B,'Data Prep'!$B$3,Data!A:A,'Data Prep'!$B$15,Data!C:C,'Data Prep'!O26)</f>
        <v>5797</v>
      </c>
      <c r="Q26" vm="24">
        <v>1062305</v>
      </c>
      <c r="R26" s="10">
        <f t="shared" si="1"/>
        <v>5.4570015202790154</v>
      </c>
      <c r="S26" s="2">
        <f>AVERAGEIFS(Data!F:F,Data!B:B,'Data Prep'!$B$3,Data!A:A,'Data Prep'!$B$15,Data!C:C,'Data Prep'!O26)</f>
        <v>65673</v>
      </c>
      <c r="T26" s="11">
        <f t="shared" si="2"/>
        <v>-65673</v>
      </c>
    </row>
    <row r="27" spans="1:20" x14ac:dyDescent="0.25">
      <c r="O27" t="s">
        <v>25</v>
      </c>
      <c r="P27" s="1">
        <f>SUMIFS(Data!E:E,Data!B:B,'Data Prep'!$B$3,Data!A:A,'Data Prep'!$B$15,Data!C:C,'Data Prep'!O27)</f>
        <v>16165</v>
      </c>
      <c r="Q27" vm="25">
        <v>1929268</v>
      </c>
      <c r="R27" s="10">
        <f t="shared" si="1"/>
        <v>8.3788255441960366</v>
      </c>
      <c r="S27" s="2">
        <f>AVERAGEIFS(Data!F:F,Data!B:B,'Data Prep'!$B$3,Data!A:A,'Data Prep'!$B$15,Data!C:C,'Data Prep'!O27)</f>
        <v>76361</v>
      </c>
      <c r="T27" s="11">
        <f t="shared" si="2"/>
        <v>-76361</v>
      </c>
    </row>
    <row r="28" spans="1:20" x14ac:dyDescent="0.25">
      <c r="O28" t="s">
        <v>26</v>
      </c>
      <c r="P28" s="1">
        <f>SUMIFS(Data!E:E,Data!B:B,'Data Prep'!$B$3,Data!A:A,'Data Prep'!$B$15,Data!C:C,'Data Prep'!O28)</f>
        <v>13306</v>
      </c>
      <c r="Q28" vm="26">
        <v>3034392</v>
      </c>
      <c r="R28" s="10">
        <f t="shared" si="1"/>
        <v>4.3850629714288729</v>
      </c>
      <c r="S28" s="2">
        <f>AVERAGEIFS(Data!F:F,Data!B:B,'Data Prep'!$B$3,Data!A:A,'Data Prep'!$B$15,Data!C:C,'Data Prep'!O28)</f>
        <v>88353</v>
      </c>
      <c r="T28" s="11">
        <f t="shared" si="2"/>
        <v>-88353</v>
      </c>
    </row>
    <row r="29" spans="1:20" x14ac:dyDescent="0.25">
      <c r="O29" t="s">
        <v>27</v>
      </c>
      <c r="P29" s="1">
        <f>SUMIFS(Data!E:E,Data!B:B,'Data Prep'!$B$3,Data!A:A,'Data Prep'!$B$15,Data!C:C,'Data Prep'!O29)</f>
        <v>11735</v>
      </c>
      <c r="Q29" vm="27">
        <v>1356458</v>
      </c>
      <c r="R29" s="10">
        <f t="shared" si="1"/>
        <v>8.651207777903922</v>
      </c>
      <c r="S29" s="2">
        <f>AVERAGEIFS(Data!F:F,Data!B:B,'Data Prep'!$B$3,Data!A:A,'Data Prep'!$B$15,Data!C:C,'Data Prep'!O29)</f>
        <v>107194</v>
      </c>
      <c r="T29" s="11">
        <f t="shared" si="2"/>
        <v>-107194</v>
      </c>
    </row>
    <row r="30" spans="1:20" x14ac:dyDescent="0.25">
      <c r="O30" t="s">
        <v>28</v>
      </c>
      <c r="P30" s="1">
        <f>SUMIFS(Data!E:E,Data!B:B,'Data Prep'!$B$3,Data!A:A,'Data Prep'!$B$15,Data!C:C,'Data Prep'!O30)</f>
        <v>67885</v>
      </c>
      <c r="Q30" vm="28">
        <v>8908520</v>
      </c>
      <c r="R30" s="10">
        <f t="shared" si="1"/>
        <v>7.6202332149447942</v>
      </c>
      <c r="S30" s="2">
        <f>AVERAGEIFS(Data!F:F,Data!B:B,'Data Prep'!$B$3,Data!A:A,'Data Prep'!$B$15,Data!C:C,'Data Prep'!O30)</f>
        <v>130541</v>
      </c>
      <c r="T30" s="11">
        <f t="shared" si="2"/>
        <v>-130541</v>
      </c>
    </row>
    <row r="31" spans="1:20" x14ac:dyDescent="0.25">
      <c r="O31" t="s">
        <v>29</v>
      </c>
      <c r="P31" s="1">
        <f>SUMIFS(Data!E:E,Data!B:B,'Data Prep'!$B$3,Data!A:A,'Data Prep'!$B$15,Data!C:C,'Data Prep'!O31)</f>
        <v>9076</v>
      </c>
      <c r="Q31" vm="29">
        <v>2095428</v>
      </c>
      <c r="R31" s="10">
        <f t="shared" si="1"/>
        <v>4.3313346963007078</v>
      </c>
      <c r="S31" s="2">
        <f>AVERAGEIFS(Data!F:F,Data!B:B,'Data Prep'!$B$3,Data!A:A,'Data Prep'!$B$15,Data!C:C,'Data Prep'!O31)</f>
        <v>62393</v>
      </c>
      <c r="T31" s="11">
        <f t="shared" si="2"/>
        <v>-62393</v>
      </c>
    </row>
    <row r="32" spans="1:20" x14ac:dyDescent="0.25">
      <c r="O32" t="s">
        <v>30</v>
      </c>
      <c r="P32" s="1">
        <f>SUMIFS(Data!E:E,Data!B:B,'Data Prep'!$B$3,Data!A:A,'Data Prep'!$B$15,Data!C:C,'Data Prep'!O32)</f>
        <v>267749</v>
      </c>
      <c r="Q32" vm="30">
        <v>19542209</v>
      </c>
      <c r="R32" s="10">
        <f t="shared" si="1"/>
        <v>13.701061123642674</v>
      </c>
      <c r="S32" s="2">
        <f>AVERAGEIFS(Data!F:F,Data!B:B,'Data Prep'!$B$3,Data!A:A,'Data Prep'!$B$15,Data!C:C,'Data Prep'!O32)</f>
        <v>154357</v>
      </c>
      <c r="T32" s="11">
        <f t="shared" si="2"/>
        <v>-154357</v>
      </c>
    </row>
    <row r="33" spans="15:20" x14ac:dyDescent="0.25">
      <c r="O33" t="s">
        <v>31</v>
      </c>
      <c r="P33" s="1">
        <f>SUMIFS(Data!E:E,Data!B:B,'Data Prep'!$B$3,Data!A:A,'Data Prep'!$B$15,Data!C:C,'Data Prep'!O33)</f>
        <v>73440</v>
      </c>
      <c r="Q33" vm="31">
        <v>10383620</v>
      </c>
      <c r="R33" s="10">
        <f t="shared" si="1"/>
        <v>7.0726779292770727</v>
      </c>
      <c r="S33" s="2">
        <f>AVERAGEIFS(Data!F:F,Data!B:B,'Data Prep'!$B$3,Data!A:A,'Data Prep'!$B$15,Data!C:C,'Data Prep'!O33)</f>
        <v>96207</v>
      </c>
      <c r="T33" s="11">
        <f t="shared" si="2"/>
        <v>-96207</v>
      </c>
    </row>
    <row r="34" spans="15:20" x14ac:dyDescent="0.25">
      <c r="O34" t="s">
        <v>32</v>
      </c>
      <c r="P34" s="1">
        <f>SUMIFS(Data!E:E,Data!B:B,'Data Prep'!$B$3,Data!A:A,'Data Prep'!$B$15,Data!C:C,'Data Prep'!O34)</f>
        <v>5780</v>
      </c>
      <c r="Q34" vm="32">
        <v>760077</v>
      </c>
      <c r="R34" s="10">
        <f t="shared" si="1"/>
        <v>7.6044927027130145</v>
      </c>
      <c r="S34" s="2">
        <f>AVERAGEIFS(Data!F:F,Data!B:B,'Data Prep'!$B$3,Data!A:A,'Data Prep'!$B$15,Data!C:C,'Data Prep'!O34)</f>
        <v>79624</v>
      </c>
      <c r="T34" s="11">
        <f t="shared" si="2"/>
        <v>-79624</v>
      </c>
    </row>
    <row r="35" spans="15:20" x14ac:dyDescent="0.25">
      <c r="O35" t="s">
        <v>33</v>
      </c>
      <c r="P35" s="1">
        <f>SUMIFS(Data!E:E,Data!B:B,'Data Prep'!$B$3,Data!A:A,'Data Prep'!$B$15,Data!C:C,'Data Prep'!O35)</f>
        <v>63865</v>
      </c>
      <c r="Q35" vm="33">
        <v>11689442</v>
      </c>
      <c r="R35" s="10">
        <f t="shared" si="1"/>
        <v>5.4634772130269349</v>
      </c>
      <c r="S35" s="2">
        <f>AVERAGEIFS(Data!F:F,Data!B:B,'Data Prep'!$B$3,Data!A:A,'Data Prep'!$B$15,Data!C:C,'Data Prep'!O35)</f>
        <v>80052</v>
      </c>
      <c r="T35" s="11">
        <f t="shared" si="2"/>
        <v>-80052</v>
      </c>
    </row>
    <row r="36" spans="15:20" x14ac:dyDescent="0.25">
      <c r="O36" t="s">
        <v>34</v>
      </c>
      <c r="P36" s="1">
        <f>SUMIFS(Data!E:E,Data!B:B,'Data Prep'!$B$3,Data!A:A,'Data Prep'!$B$15,Data!C:C,'Data Prep'!O36)</f>
        <v>18256</v>
      </c>
      <c r="Q36" vm="34">
        <v>3943079</v>
      </c>
      <c r="R36" s="10">
        <f t="shared" si="1"/>
        <v>4.6298844126633023</v>
      </c>
      <c r="S36" s="2">
        <f>AVERAGEIFS(Data!F:F,Data!B:B,'Data Prep'!$B$3,Data!A:A,'Data Prep'!$B$15,Data!C:C,'Data Prep'!O36)</f>
        <v>63710</v>
      </c>
      <c r="T36" s="11">
        <f t="shared" si="2"/>
        <v>-63710</v>
      </c>
    </row>
    <row r="37" spans="15:20" x14ac:dyDescent="0.25">
      <c r="O37" t="s">
        <v>35</v>
      </c>
      <c r="P37" s="1">
        <f>SUMIFS(Data!E:E,Data!B:B,'Data Prep'!$B$3,Data!A:A,'Data Prep'!$B$15,Data!C:C,'Data Prep'!O37)</f>
        <v>33218</v>
      </c>
      <c r="Q37" vm="35">
        <v>4190713</v>
      </c>
      <c r="R37" s="10">
        <f t="shared" si="1"/>
        <v>7.9265747857226208</v>
      </c>
      <c r="S37" s="2">
        <f>AVERAGEIFS(Data!F:F,Data!B:B,'Data Prep'!$B$3,Data!A:A,'Data Prep'!$B$15,Data!C:C,'Data Prep'!O37)</f>
        <v>101737</v>
      </c>
      <c r="T37" s="11">
        <f t="shared" si="2"/>
        <v>-101737</v>
      </c>
    </row>
    <row r="38" spans="15:20" x14ac:dyDescent="0.25">
      <c r="O38" t="s">
        <v>36</v>
      </c>
      <c r="P38" s="1">
        <f>SUMIFS(Data!E:E,Data!B:B,'Data Prep'!$B$3,Data!A:A,'Data Prep'!$B$15,Data!C:C,'Data Prep'!O38)</f>
        <v>82872</v>
      </c>
      <c r="Q38" vm="36">
        <v>12807060</v>
      </c>
      <c r="R38" s="10">
        <f t="shared" si="1"/>
        <v>6.4708059460953571</v>
      </c>
      <c r="S38" s="2">
        <f>AVERAGEIFS(Data!F:F,Data!B:B,'Data Prep'!$B$3,Data!A:A,'Data Prep'!$B$15,Data!C:C,'Data Prep'!O38)</f>
        <v>107388</v>
      </c>
      <c r="T38" s="11">
        <f t="shared" si="2"/>
        <v>-107388</v>
      </c>
    </row>
    <row r="39" spans="15:20" x14ac:dyDescent="0.25">
      <c r="O39" t="s">
        <v>37</v>
      </c>
      <c r="P39" s="1">
        <f>SUMIFS(Data!E:E,Data!B:B,'Data Prep'!$B$3,Data!A:A,'Data Prep'!$B$15,Data!C:C,'Data Prep'!O39)</f>
        <v>5243</v>
      </c>
      <c r="Q39" vm="37">
        <v>1057315</v>
      </c>
      <c r="R39" s="10">
        <f t="shared" si="1"/>
        <v>4.9587871164222586</v>
      </c>
      <c r="S39" s="2">
        <f>AVERAGEIFS(Data!F:F,Data!B:B,'Data Prep'!$B$3,Data!A:A,'Data Prep'!$B$15,Data!C:C,'Data Prep'!O39)</f>
        <v>87286</v>
      </c>
      <c r="T39" s="11">
        <f t="shared" si="2"/>
        <v>-87286</v>
      </c>
    </row>
    <row r="40" spans="15:20" x14ac:dyDescent="0.25">
      <c r="O40" t="s">
        <v>38</v>
      </c>
      <c r="P40" s="1">
        <f>SUMIFS(Data!E:E,Data!B:B,'Data Prep'!$B$3,Data!A:A,'Data Prep'!$B$15,Data!C:C,'Data Prep'!O40)</f>
        <v>24744</v>
      </c>
      <c r="Q40" vm="38">
        <v>5084127</v>
      </c>
      <c r="R40" s="10">
        <f t="shared" si="1"/>
        <v>4.8669122545522558</v>
      </c>
      <c r="S40" s="2">
        <f>AVERAGEIFS(Data!F:F,Data!B:B,'Data Prep'!$B$3,Data!A:A,'Data Prep'!$B$15,Data!C:C,'Data Prep'!O40)</f>
        <v>73562</v>
      </c>
      <c r="T40" s="11">
        <f t="shared" si="2"/>
        <v>-73562</v>
      </c>
    </row>
    <row r="41" spans="15:20" x14ac:dyDescent="0.25">
      <c r="O41" t="s">
        <v>39</v>
      </c>
      <c r="P41" s="1">
        <f>SUMIFS(Data!E:E,Data!B:B,'Data Prep'!$B$3,Data!A:A,'Data Prep'!$B$15,Data!C:C,'Data Prep'!O41)</f>
        <v>5074</v>
      </c>
      <c r="Q41" vm="39">
        <v>882235</v>
      </c>
      <c r="R41" s="10">
        <f t="shared" si="1"/>
        <v>5.7513020907127919</v>
      </c>
      <c r="S41" s="2">
        <f>AVERAGEIFS(Data!F:F,Data!B:B,'Data Prep'!$B$3,Data!A:A,'Data Prep'!$B$15,Data!C:C,'Data Prep'!O41)</f>
        <v>58069</v>
      </c>
      <c r="T41" s="11">
        <f t="shared" si="2"/>
        <v>-58069</v>
      </c>
    </row>
    <row r="42" spans="15:20" x14ac:dyDescent="0.25">
      <c r="O42" t="s">
        <v>40</v>
      </c>
      <c r="P42" s="1">
        <f>SUMIFS(Data!E:E,Data!B:B,'Data Prep'!$B$3,Data!A:A,'Data Prep'!$B$15,Data!C:C,'Data Prep'!O42)</f>
        <v>42929</v>
      </c>
      <c r="Q42" vm="40">
        <v>6770010</v>
      </c>
      <c r="R42" s="10">
        <f t="shared" si="1"/>
        <v>6.3410541491076087</v>
      </c>
      <c r="S42" s="2">
        <f>AVERAGEIFS(Data!F:F,Data!B:B,'Data Prep'!$B$3,Data!A:A,'Data Prep'!$B$15,Data!C:C,'Data Prep'!O42)</f>
        <v>81293</v>
      </c>
      <c r="T42" s="11">
        <f t="shared" si="2"/>
        <v>-81293</v>
      </c>
    </row>
    <row r="43" spans="15:20" x14ac:dyDescent="0.25">
      <c r="O43" t="s">
        <v>41</v>
      </c>
      <c r="P43" s="1">
        <f>SUMIFS(Data!E:E,Data!B:B,'Data Prep'!$B$3,Data!A:A,'Data Prep'!$B$15,Data!C:C,'Data Prep'!O43)</f>
        <v>198521</v>
      </c>
      <c r="Q43" vm="41">
        <v>28701845</v>
      </c>
      <c r="R43" s="10">
        <f t="shared" si="1"/>
        <v>6.9166633712919854</v>
      </c>
      <c r="S43" s="2">
        <f>AVERAGEIFS(Data!F:F,Data!B:B,'Data Prep'!$B$3,Data!A:A,'Data Prep'!$B$15,Data!C:C,'Data Prep'!O43)</f>
        <v>102835</v>
      </c>
      <c r="T43" s="11">
        <f t="shared" si="2"/>
        <v>-102835</v>
      </c>
    </row>
    <row r="44" spans="15:20" x14ac:dyDescent="0.25">
      <c r="O44" t="s">
        <v>42</v>
      </c>
      <c r="P44" s="1">
        <f>SUMIFS(Data!E:E,Data!B:B,'Data Prep'!$B$3,Data!A:A,'Data Prep'!$B$15,Data!C:C,'Data Prep'!O44)</f>
        <v>37222</v>
      </c>
      <c r="Q44" vm="42">
        <v>3161105</v>
      </c>
      <c r="R44" s="10">
        <f t="shared" si="1"/>
        <v>11.774996401574766</v>
      </c>
      <c r="S44" s="2">
        <f>AVERAGEIFS(Data!F:F,Data!B:B,'Data Prep'!$B$3,Data!A:A,'Data Prep'!$B$15,Data!C:C,'Data Prep'!O44)</f>
        <v>96974</v>
      </c>
      <c r="T44" s="11">
        <f t="shared" si="2"/>
        <v>-96974</v>
      </c>
    </row>
    <row r="45" spans="15:20" x14ac:dyDescent="0.25">
      <c r="O45" t="s">
        <v>43</v>
      </c>
      <c r="P45" s="1">
        <f>SUMIFS(Data!E:E,Data!B:B,'Data Prep'!$B$3,Data!A:A,'Data Prep'!$B$15,Data!C:C,'Data Prep'!O45)</f>
        <v>3961</v>
      </c>
      <c r="Q45" vm="43">
        <v>626299</v>
      </c>
      <c r="R45" s="10">
        <f t="shared" si="1"/>
        <v>6.32445525220382</v>
      </c>
      <c r="S45" s="2">
        <f>AVERAGEIFS(Data!F:F,Data!B:B,'Data Prep'!$B$3,Data!A:A,'Data Prep'!$B$15,Data!C:C,'Data Prep'!O45)</f>
        <v>68605</v>
      </c>
      <c r="T45" s="11">
        <f t="shared" si="2"/>
        <v>-68605</v>
      </c>
    </row>
    <row r="46" spans="15:20" x14ac:dyDescent="0.25">
      <c r="O46" t="s">
        <v>44</v>
      </c>
      <c r="P46" s="1">
        <f>SUMIFS(Data!E:E,Data!B:B,'Data Prep'!$B$3,Data!A:A,'Data Prep'!$B$15,Data!C:C,'Data Prep'!O46)</f>
        <v>64840</v>
      </c>
      <c r="Q46" vm="44">
        <v>8517685</v>
      </c>
      <c r="R46" s="10">
        <f t="shared" si="1"/>
        <v>7.6123970304137796</v>
      </c>
      <c r="S46" s="2">
        <f>AVERAGEIFS(Data!F:F,Data!B:B,'Data Prep'!$B$3,Data!A:A,'Data Prep'!$B$15,Data!C:C,'Data Prep'!O46)</f>
        <v>117848</v>
      </c>
      <c r="T46" s="11">
        <f t="shared" si="2"/>
        <v>-117848</v>
      </c>
    </row>
    <row r="47" spans="15:20" x14ac:dyDescent="0.25">
      <c r="O47" t="s">
        <v>45</v>
      </c>
      <c r="P47" s="1">
        <f>SUMIFS(Data!E:E,Data!B:B,'Data Prep'!$B$3,Data!A:A,'Data Prep'!$B$15,Data!C:C,'Data Prep'!O47)</f>
        <v>148556</v>
      </c>
      <c r="Q47" vm="45">
        <v>7614893</v>
      </c>
      <c r="R47" s="10">
        <f t="shared" si="1"/>
        <v>19.508612924699005</v>
      </c>
      <c r="S47" s="2">
        <f>AVERAGEIFS(Data!F:F,Data!B:B,'Data Prep'!$B$3,Data!A:A,'Data Prep'!$B$15,Data!C:C,'Data Prep'!O47)</f>
        <v>242273</v>
      </c>
      <c r="T47" s="11">
        <f t="shared" si="2"/>
        <v>-242273</v>
      </c>
    </row>
    <row r="48" spans="15:20" x14ac:dyDescent="0.25">
      <c r="O48" t="s">
        <v>46</v>
      </c>
      <c r="P48" s="1">
        <f>SUMIFS(Data!E:E,Data!B:B,'Data Prep'!$B$3,Data!A:A,'Data Prep'!$B$15,Data!C:C,'Data Prep'!O48)</f>
        <v>7215</v>
      </c>
      <c r="Q48" vm="46">
        <v>1805832</v>
      </c>
      <c r="R48" s="10">
        <f t="shared" si="1"/>
        <v>3.9953882753212926</v>
      </c>
      <c r="S48" s="2">
        <f>AVERAGEIFS(Data!F:F,Data!B:B,'Data Prep'!$B$3,Data!A:A,'Data Prep'!$B$15,Data!C:C,'Data Prep'!O48)</f>
        <v>58063</v>
      </c>
      <c r="T48" s="11">
        <f t="shared" si="2"/>
        <v>-58063</v>
      </c>
    </row>
    <row r="49" spans="15:20" x14ac:dyDescent="0.25">
      <c r="O49" t="s">
        <v>47</v>
      </c>
      <c r="P49" s="1">
        <f>SUMIFS(Data!E:E,Data!B:B,'Data Prep'!$B$3,Data!A:A,'Data Prep'!$B$15,Data!C:C,'Data Prep'!O49)</f>
        <v>44846</v>
      </c>
      <c r="Q49" vm="47">
        <v>5813568</v>
      </c>
      <c r="R49" s="10">
        <f t="shared" si="1"/>
        <v>7.7140234706121955</v>
      </c>
      <c r="S49" s="2">
        <f>AVERAGEIFS(Data!F:F,Data!B:B,'Data Prep'!$B$3,Data!A:A,'Data Prep'!$B$15,Data!C:C,'Data Prep'!O49)</f>
        <v>88336</v>
      </c>
      <c r="T49" s="11">
        <f t="shared" si="2"/>
        <v>-88336</v>
      </c>
    </row>
    <row r="50" spans="15:20" x14ac:dyDescent="0.25">
      <c r="O50" t="s">
        <v>48</v>
      </c>
      <c r="P50" s="1">
        <f>SUMIFS(Data!E:E,Data!B:B,'Data Prep'!$B$3,Data!A:A,'Data Prep'!$B$15,Data!C:C,'Data Prep'!O50)</f>
        <v>3000</v>
      </c>
      <c r="Q50" vm="48">
        <v>577737</v>
      </c>
      <c r="R50" s="10">
        <f t="shared" si="1"/>
        <v>5.1926741752735248</v>
      </c>
      <c r="S50" s="2">
        <f>AVERAGEIFS(Data!F:F,Data!B:B,'Data Prep'!$B$3,Data!A:A,'Data Prep'!$B$15,Data!C:C,'Data Prep'!O50)</f>
        <v>54299</v>
      </c>
      <c r="T50" s="11">
        <f t="shared" si="2"/>
        <v>-54299</v>
      </c>
    </row>
  </sheetData>
  <sortState xmlns:xlrd2="http://schemas.microsoft.com/office/spreadsheetml/2017/richdata2" ref="H2:I12">
    <sortCondition descending="1" ref="I2:I1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6C21-9A78-4BA7-8A8B-6FC7EEC60075}">
  <dimension ref="A1:R37"/>
  <sheetViews>
    <sheetView showGridLines="0" tabSelected="1" workbookViewId="0">
      <selection activeCell="L7" sqref="L7"/>
    </sheetView>
  </sheetViews>
  <sheetFormatPr defaultColWidth="0" defaultRowHeight="15" zeroHeight="1" x14ac:dyDescent="0.25"/>
  <cols>
    <col min="1" max="1" width="6.5703125" customWidth="1"/>
    <col min="2" max="2" width="49.5703125" customWidth="1"/>
    <col min="3" max="8" width="9.140625" customWidth="1"/>
    <col min="9" max="9" width="3.7109375" customWidth="1"/>
    <col min="10" max="10" width="2.5703125" customWidth="1"/>
    <col min="11" max="11" width="8.28515625" customWidth="1"/>
    <col min="12" max="13" width="9.140625" customWidth="1"/>
    <col min="14" max="14" width="36.85546875" bestFit="1" customWidth="1"/>
    <col min="15" max="17" width="9.140625" customWidth="1"/>
    <col min="18" max="18" width="3.140625" customWidth="1"/>
    <col min="19" max="16384" width="9.140625" hidden="1"/>
  </cols>
  <sheetData>
    <row r="1" spans="1:2" x14ac:dyDescent="0.25">
      <c r="A1" s="14">
        <v>10</v>
      </c>
    </row>
    <row r="2" spans="1:2" x14ac:dyDescent="0.25">
      <c r="A2" s="14">
        <v>1</v>
      </c>
    </row>
    <row r="3" spans="1:2" x14ac:dyDescent="0.25"/>
    <row r="4" spans="1:2" x14ac:dyDescent="0.25"/>
    <row r="5" spans="1:2" x14ac:dyDescent="0.25"/>
    <row r="6" spans="1:2" ht="31.5" x14ac:dyDescent="0.5">
      <c r="B6" s="12" t="str" cm="1">
        <f t="array" ref="B6">INDEX('Data Prep'!D3:D12,11-Dashboard!A1)</f>
        <v>Information</v>
      </c>
    </row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</sheetData>
  <sheetProtection selectLockedCells="1" selectUnlockedCells="1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2</xdr:col>
                    <xdr:colOff>0</xdr:colOff>
                    <xdr:row>5</xdr:row>
                    <xdr:rowOff>0</xdr:rowOff>
                  </from>
                  <to>
                    <xdr:col>2</xdr:col>
                    <xdr:colOff>504825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Option Button 5">
              <controlPr defaultSize="0" autoFill="0" autoLine="0" autoPict="0">
                <anchor moveWithCells="1">
                  <from>
                    <xdr:col>11</xdr:col>
                    <xdr:colOff>495300</xdr:colOff>
                    <xdr:row>9</xdr:row>
                    <xdr:rowOff>47625</xdr:rowOff>
                  </from>
                  <to>
                    <xdr:col>13</xdr:col>
                    <xdr:colOff>1447800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Option Button 6">
              <controlPr defaultSize="0" autoFill="0" autoLine="0" autoPict="0">
                <anchor moveWithCells="1">
                  <from>
                    <xdr:col>13</xdr:col>
                    <xdr:colOff>1485900</xdr:colOff>
                    <xdr:row>9</xdr:row>
                    <xdr:rowOff>0</xdr:rowOff>
                  </from>
                  <to>
                    <xdr:col>14</xdr:col>
                    <xdr:colOff>533400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 Prep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Tharannum Nakwa</cp:lastModifiedBy>
  <dcterms:created xsi:type="dcterms:W3CDTF">2021-09-21T20:47:02Z</dcterms:created>
  <dcterms:modified xsi:type="dcterms:W3CDTF">2025-12-03T12:20:22Z</dcterms:modified>
</cp:coreProperties>
</file>